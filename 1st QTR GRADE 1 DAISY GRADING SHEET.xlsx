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koy\Documents\Kukay\New folder\"/>
    </mc:Choice>
  </mc:AlternateContent>
  <xr:revisionPtr revIDLastSave="0" documentId="13_ncr:1_{A5C3EC0A-2F83-46CB-AC3A-5CDC7A29B7C8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LANGUAGE " sheetId="13" r:id="rId1"/>
    <sheet name="READING" sheetId="14" r:id="rId2"/>
    <sheet name="MATHEMATICS" sheetId="15" r:id="rId3"/>
    <sheet name="GMRC" sheetId="16" r:id="rId4"/>
    <sheet name="MAKABANSA" sheetId="2" r:id="rId5"/>
    <sheet name="SUMMARY OF QUARTERLY GRADES " sheetId="10" r:id="rId6"/>
    <sheet name="DO NOT DELETE" sheetId="12" state="hidden" r:id="rId7"/>
  </sheets>
  <definedNames>
    <definedName name="TRANSMUTATION_TABLE">'DO NOT DELETE'!$G$2:$J$42</definedName>
  </definedNames>
  <calcPr calcId="191029"/>
</workbook>
</file>

<file path=xl/calcChain.xml><?xml version="1.0" encoding="utf-8"?>
<calcChain xmlns="http://schemas.openxmlformats.org/spreadsheetml/2006/main">
  <c r="AJ12" i="16" l="1"/>
  <c r="AJ13" i="16"/>
  <c r="AJ14" i="16"/>
  <c r="AJ15" i="16"/>
  <c r="AJ16" i="16"/>
  <c r="AJ18" i="16"/>
  <c r="AJ19" i="16"/>
  <c r="AJ20" i="16"/>
  <c r="AJ21" i="16"/>
  <c r="AJ22" i="16"/>
  <c r="AJ23" i="16"/>
  <c r="AJ24" i="16"/>
  <c r="AJ25" i="16"/>
  <c r="AJ26" i="16"/>
  <c r="AJ27" i="16"/>
  <c r="AJ28" i="16"/>
  <c r="AJ29" i="16"/>
  <c r="AJ31" i="16"/>
  <c r="P12" i="2"/>
  <c r="P31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12" i="14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26" i="15"/>
  <c r="P27" i="15"/>
  <c r="P28" i="15"/>
  <c r="P29" i="15"/>
  <c r="P30" i="15"/>
  <c r="P31" i="15"/>
  <c r="P12" i="15"/>
  <c r="Q16" i="16"/>
  <c r="P22" i="2"/>
  <c r="P23" i="2"/>
  <c r="P24" i="2"/>
  <c r="P25" i="2"/>
  <c r="P26" i="2"/>
  <c r="P27" i="2"/>
  <c r="P28" i="2"/>
  <c r="P29" i="2"/>
  <c r="P30" i="2"/>
  <c r="P31" i="2"/>
  <c r="P21" i="2"/>
  <c r="P20" i="2"/>
  <c r="P19" i="2"/>
  <c r="P18" i="2"/>
  <c r="P17" i="2"/>
  <c r="P16" i="2"/>
  <c r="P15" i="2"/>
  <c r="P13" i="2"/>
  <c r="P14" i="2"/>
  <c r="P12" i="13"/>
  <c r="BF58" i="16" l="1"/>
  <c r="BF57" i="16"/>
  <c r="BF54" i="16"/>
  <c r="BF53" i="16"/>
  <c r="BF52" i="16"/>
  <c r="AG52" i="16"/>
  <c r="AH52" i="16" s="1"/>
  <c r="AC52" i="16"/>
  <c r="AD52" i="16" s="1"/>
  <c r="AE52" i="16" s="1"/>
  <c r="Q52" i="16"/>
  <c r="R52" i="16" s="1"/>
  <c r="BF51" i="16"/>
  <c r="AG51" i="16"/>
  <c r="AH51" i="16" s="1"/>
  <c r="AC51" i="16"/>
  <c r="AD51" i="16" s="1"/>
  <c r="AE51" i="16" s="1"/>
  <c r="Q51" i="16"/>
  <c r="R51" i="16" s="1"/>
  <c r="BF50" i="16"/>
  <c r="AG50" i="16"/>
  <c r="AH50" i="16" s="1"/>
  <c r="AC50" i="16"/>
  <c r="AD50" i="16" s="1"/>
  <c r="AE50" i="16" s="1"/>
  <c r="Q50" i="16"/>
  <c r="R50" i="16" s="1"/>
  <c r="BF49" i="16"/>
  <c r="AG49" i="16"/>
  <c r="AH49" i="16" s="1"/>
  <c r="AC49" i="16"/>
  <c r="AD49" i="16" s="1"/>
  <c r="AE49" i="16" s="1"/>
  <c r="Q49" i="16"/>
  <c r="R49" i="16" s="1"/>
  <c r="BF48" i="16"/>
  <c r="AG48" i="16"/>
  <c r="AH48" i="16" s="1"/>
  <c r="AC48" i="16"/>
  <c r="AD48" i="16" s="1"/>
  <c r="AE48" i="16" s="1"/>
  <c r="Q48" i="16"/>
  <c r="R48" i="16" s="1"/>
  <c r="BF47" i="16"/>
  <c r="AH47" i="16"/>
  <c r="AG47" i="16"/>
  <c r="AC47" i="16"/>
  <c r="AD47" i="16" s="1"/>
  <c r="AE47" i="16" s="1"/>
  <c r="Q47" i="16"/>
  <c r="R47" i="16" s="1"/>
  <c r="BF46" i="16"/>
  <c r="AG46" i="16"/>
  <c r="AH46" i="16" s="1"/>
  <c r="AC46" i="16"/>
  <c r="AD46" i="16" s="1"/>
  <c r="AE46" i="16" s="1"/>
  <c r="Q46" i="16"/>
  <c r="R46" i="16" s="1"/>
  <c r="BF45" i="16"/>
  <c r="AH45" i="16"/>
  <c r="AG45" i="16"/>
  <c r="AC45" i="16"/>
  <c r="AD45" i="16" s="1"/>
  <c r="AE45" i="16" s="1"/>
  <c r="Q45" i="16"/>
  <c r="R45" i="16" s="1"/>
  <c r="BF44" i="16"/>
  <c r="AH44" i="16"/>
  <c r="AG44" i="16"/>
  <c r="AD44" i="16"/>
  <c r="AE44" i="16" s="1"/>
  <c r="AC44" i="16"/>
  <c r="Q44" i="16"/>
  <c r="R44" i="16" s="1"/>
  <c r="BF43" i="16"/>
  <c r="AG43" i="16"/>
  <c r="AH43" i="16" s="1"/>
  <c r="AC43" i="16"/>
  <c r="AD43" i="16" s="1"/>
  <c r="AE43" i="16" s="1"/>
  <c r="Q43" i="16"/>
  <c r="R43" i="16" s="1"/>
  <c r="BF42" i="16"/>
  <c r="AG42" i="16"/>
  <c r="AH42" i="16" s="1"/>
  <c r="AC42" i="16"/>
  <c r="AD42" i="16" s="1"/>
  <c r="AE42" i="16" s="1"/>
  <c r="Q42" i="16"/>
  <c r="R42" i="16" s="1"/>
  <c r="BF41" i="16"/>
  <c r="AG41" i="16"/>
  <c r="AH41" i="16" s="1"/>
  <c r="AC41" i="16"/>
  <c r="AD41" i="16" s="1"/>
  <c r="AE41" i="16" s="1"/>
  <c r="Q41" i="16"/>
  <c r="R41" i="16" s="1"/>
  <c r="BF40" i="16"/>
  <c r="AG40" i="16"/>
  <c r="AH40" i="16" s="1"/>
  <c r="AC40" i="16"/>
  <c r="AD40" i="16" s="1"/>
  <c r="AE40" i="16" s="1"/>
  <c r="Q40" i="16"/>
  <c r="R40" i="16" s="1"/>
  <c r="BF39" i="16"/>
  <c r="AG39" i="16"/>
  <c r="AH39" i="16" s="1"/>
  <c r="AC39" i="16"/>
  <c r="AD39" i="16" s="1"/>
  <c r="AE39" i="16" s="1"/>
  <c r="R39" i="16"/>
  <c r="Q39" i="16"/>
  <c r="BF38" i="16"/>
  <c r="AG38" i="16"/>
  <c r="AH38" i="16" s="1"/>
  <c r="AC38" i="16"/>
  <c r="AD38" i="16" s="1"/>
  <c r="AE38" i="16" s="1"/>
  <c r="Q38" i="16"/>
  <c r="R38" i="16" s="1"/>
  <c r="BF37" i="16"/>
  <c r="AG37" i="16"/>
  <c r="AH37" i="16" s="1"/>
  <c r="AC37" i="16"/>
  <c r="AD37" i="16" s="1"/>
  <c r="AE37" i="16" s="1"/>
  <c r="Q37" i="16"/>
  <c r="R37" i="16" s="1"/>
  <c r="BF36" i="16"/>
  <c r="AG36" i="16"/>
  <c r="AH36" i="16" s="1"/>
  <c r="AC36" i="16"/>
  <c r="AD36" i="16" s="1"/>
  <c r="AE36" i="16" s="1"/>
  <c r="Q36" i="16"/>
  <c r="R36" i="16" s="1"/>
  <c r="BF35" i="16"/>
  <c r="AH35" i="16"/>
  <c r="AG35" i="16"/>
  <c r="AC35" i="16"/>
  <c r="AD35" i="16" s="1"/>
  <c r="AE35" i="16" s="1"/>
  <c r="Q35" i="16"/>
  <c r="R35" i="16" s="1"/>
  <c r="BF34" i="16"/>
  <c r="AG34" i="16"/>
  <c r="AH34" i="16" s="1"/>
  <c r="AC34" i="16"/>
  <c r="AD34" i="16" s="1"/>
  <c r="AE34" i="16" s="1"/>
  <c r="Q34" i="16"/>
  <c r="R34" i="16" s="1"/>
  <c r="AH33" i="16"/>
  <c r="AG33" i="16"/>
  <c r="AD33" i="16"/>
  <c r="AE33" i="16" s="1"/>
  <c r="AC33" i="16"/>
  <c r="Q33" i="16"/>
  <c r="R33" i="16" s="1"/>
  <c r="BF31" i="16"/>
  <c r="AG31" i="16"/>
  <c r="AH31" i="16" s="1"/>
  <c r="AC31" i="16"/>
  <c r="AD31" i="16" s="1"/>
  <c r="AE31" i="16" s="1"/>
  <c r="Q31" i="16"/>
  <c r="R31" i="16" s="1"/>
  <c r="BF30" i="16"/>
  <c r="AG30" i="16"/>
  <c r="AH30" i="16" s="1"/>
  <c r="AC30" i="16"/>
  <c r="AD30" i="16" s="1"/>
  <c r="AE30" i="16" s="1"/>
  <c r="Q30" i="16"/>
  <c r="R30" i="16" s="1"/>
  <c r="BF29" i="16"/>
  <c r="AG29" i="16"/>
  <c r="AH29" i="16" s="1"/>
  <c r="AC29" i="16"/>
  <c r="AD29" i="16" s="1"/>
  <c r="AE29" i="16" s="1"/>
  <c r="Q29" i="16"/>
  <c r="R29" i="16" s="1"/>
  <c r="BF28" i="16"/>
  <c r="AM28" i="16"/>
  <c r="AG28" i="16"/>
  <c r="AH28" i="16" s="1"/>
  <c r="AC28" i="16"/>
  <c r="AD28" i="16" s="1"/>
  <c r="AE28" i="16" s="1"/>
  <c r="Q28" i="16"/>
  <c r="R28" i="16" s="1"/>
  <c r="BF27" i="16"/>
  <c r="AM27" i="16"/>
  <c r="AG27" i="16"/>
  <c r="AH27" i="16" s="1"/>
  <c r="AC27" i="16"/>
  <c r="AD27" i="16" s="1"/>
  <c r="AE27" i="16" s="1"/>
  <c r="AI27" i="16" s="1"/>
  <c r="Q27" i="16"/>
  <c r="R27" i="16" s="1"/>
  <c r="BF26" i="16"/>
  <c r="AM26" i="16"/>
  <c r="AG26" i="16"/>
  <c r="AH26" i="16" s="1"/>
  <c r="AC26" i="16"/>
  <c r="AD26" i="16" s="1"/>
  <c r="AE26" i="16" s="1"/>
  <c r="Q26" i="16"/>
  <c r="R26" i="16" s="1"/>
  <c r="BF25" i="16"/>
  <c r="AG25" i="16"/>
  <c r="AH25" i="16" s="1"/>
  <c r="AC25" i="16"/>
  <c r="AD25" i="16" s="1"/>
  <c r="AE25" i="16" s="1"/>
  <c r="Q25" i="16"/>
  <c r="R25" i="16" s="1"/>
  <c r="BF24" i="16"/>
  <c r="AG24" i="16"/>
  <c r="AH24" i="16" s="1"/>
  <c r="AC24" i="16"/>
  <c r="AD24" i="16" s="1"/>
  <c r="AE24" i="16" s="1"/>
  <c r="Q24" i="16"/>
  <c r="R24" i="16" s="1"/>
  <c r="BF23" i="16"/>
  <c r="AG23" i="16"/>
  <c r="AH23" i="16" s="1"/>
  <c r="AC23" i="16"/>
  <c r="AD23" i="16" s="1"/>
  <c r="AE23" i="16" s="1"/>
  <c r="Q23" i="16"/>
  <c r="R23" i="16" s="1"/>
  <c r="BF22" i="16"/>
  <c r="AM22" i="16"/>
  <c r="AG22" i="16"/>
  <c r="AH22" i="16" s="1"/>
  <c r="AC22" i="16"/>
  <c r="AD22" i="16" s="1"/>
  <c r="AE22" i="16" s="1"/>
  <c r="Q22" i="16"/>
  <c r="R22" i="16" s="1"/>
  <c r="BF21" i="16"/>
  <c r="AM21" i="16"/>
  <c r="AG21" i="16"/>
  <c r="AH21" i="16" s="1"/>
  <c r="AC21" i="16"/>
  <c r="AD21" i="16" s="1"/>
  <c r="AE21" i="16" s="1"/>
  <c r="Q21" i="16"/>
  <c r="R21" i="16" s="1"/>
  <c r="BF20" i="16"/>
  <c r="AM20" i="16"/>
  <c r="AM23" i="16" s="1"/>
  <c r="AG20" i="16"/>
  <c r="AH20" i="16" s="1"/>
  <c r="AC20" i="16"/>
  <c r="AD20" i="16" s="1"/>
  <c r="AE20" i="16" s="1"/>
  <c r="Q20" i="16"/>
  <c r="R20" i="16" s="1"/>
  <c r="BF19" i="16"/>
  <c r="AG19" i="16"/>
  <c r="AH19" i="16" s="1"/>
  <c r="AC19" i="16"/>
  <c r="AD19" i="16" s="1"/>
  <c r="AE19" i="16" s="1"/>
  <c r="Q19" i="16"/>
  <c r="R19" i="16" s="1"/>
  <c r="AI19" i="16" s="1"/>
  <c r="BF18" i="16"/>
  <c r="AG18" i="16"/>
  <c r="AH18" i="16" s="1"/>
  <c r="AC18" i="16"/>
  <c r="AD18" i="16" s="1"/>
  <c r="AE18" i="16" s="1"/>
  <c r="Q18" i="16"/>
  <c r="R18" i="16" s="1"/>
  <c r="BF17" i="16"/>
  <c r="AG17" i="16"/>
  <c r="AH17" i="16" s="1"/>
  <c r="AC17" i="16"/>
  <c r="AD17" i="16" s="1"/>
  <c r="AE17" i="16" s="1"/>
  <c r="Q17" i="16"/>
  <c r="R17" i="16" s="1"/>
  <c r="BF16" i="16"/>
  <c r="AG16" i="16"/>
  <c r="AH16" i="16" s="1"/>
  <c r="AC16" i="16"/>
  <c r="AD16" i="16" s="1"/>
  <c r="AE16" i="16" s="1"/>
  <c r="R16" i="16"/>
  <c r="BF15" i="16"/>
  <c r="AH15" i="16"/>
  <c r="AG15" i="16"/>
  <c r="AC15" i="16"/>
  <c r="AD15" i="16" s="1"/>
  <c r="AE15" i="16" s="1"/>
  <c r="Q15" i="16"/>
  <c r="R15" i="16" s="1"/>
  <c r="BF14" i="16"/>
  <c r="AG14" i="16"/>
  <c r="AH14" i="16" s="1"/>
  <c r="AC14" i="16"/>
  <c r="AD14" i="16" s="1"/>
  <c r="AE14" i="16" s="1"/>
  <c r="Q14" i="16"/>
  <c r="R14" i="16" s="1"/>
  <c r="BF13" i="16"/>
  <c r="AG13" i="16"/>
  <c r="AH13" i="16" s="1"/>
  <c r="AC13" i="16"/>
  <c r="AD13" i="16" s="1"/>
  <c r="AE13" i="16" s="1"/>
  <c r="Q13" i="16"/>
  <c r="R13" i="16" s="1"/>
  <c r="BF12" i="16"/>
  <c r="AG12" i="16"/>
  <c r="AH12" i="16" s="1"/>
  <c r="AC12" i="16"/>
  <c r="AD12" i="16" s="1"/>
  <c r="AE12" i="16" s="1"/>
  <c r="Q12" i="16"/>
  <c r="R12" i="16" s="1"/>
  <c r="AM11" i="16"/>
  <c r="AM10" i="16"/>
  <c r="AC10" i="16"/>
  <c r="P10" i="16"/>
  <c r="BF58" i="15"/>
  <c r="BF57" i="15"/>
  <c r="BF54" i="15"/>
  <c r="BF53" i="15"/>
  <c r="BF52" i="15"/>
  <c r="AG52" i="15"/>
  <c r="AH52" i="15" s="1"/>
  <c r="AC52" i="15"/>
  <c r="AD52" i="15" s="1"/>
  <c r="AE52" i="15" s="1"/>
  <c r="P52" i="15"/>
  <c r="Q52" i="15" s="1"/>
  <c r="R52" i="15" s="1"/>
  <c r="BF51" i="15"/>
  <c r="AG51" i="15"/>
  <c r="AH51" i="15" s="1"/>
  <c r="AC51" i="15"/>
  <c r="AD51" i="15" s="1"/>
  <c r="AE51" i="15" s="1"/>
  <c r="P51" i="15"/>
  <c r="Q51" i="15" s="1"/>
  <c r="R51" i="15" s="1"/>
  <c r="BF50" i="15"/>
  <c r="AH50" i="15"/>
  <c r="AG50" i="15"/>
  <c r="AC50" i="15"/>
  <c r="AD50" i="15" s="1"/>
  <c r="AE50" i="15" s="1"/>
  <c r="Q50" i="15"/>
  <c r="R50" i="15" s="1"/>
  <c r="P50" i="15"/>
  <c r="BF49" i="15"/>
  <c r="AG49" i="15"/>
  <c r="AH49" i="15" s="1"/>
  <c r="AC49" i="15"/>
  <c r="AD49" i="15" s="1"/>
  <c r="AE49" i="15" s="1"/>
  <c r="P49" i="15"/>
  <c r="Q49" i="15" s="1"/>
  <c r="R49" i="15" s="1"/>
  <c r="BF48" i="15"/>
  <c r="AG48" i="15"/>
  <c r="AH48" i="15" s="1"/>
  <c r="AC48" i="15"/>
  <c r="AD48" i="15" s="1"/>
  <c r="AE48" i="15" s="1"/>
  <c r="P48" i="15"/>
  <c r="Q48" i="15" s="1"/>
  <c r="R48" i="15" s="1"/>
  <c r="BF47" i="15"/>
  <c r="AG47" i="15"/>
  <c r="AH47" i="15" s="1"/>
  <c r="AC47" i="15"/>
  <c r="AD47" i="15" s="1"/>
  <c r="AE47" i="15" s="1"/>
  <c r="P47" i="15"/>
  <c r="Q47" i="15" s="1"/>
  <c r="R47" i="15" s="1"/>
  <c r="BF46" i="15"/>
  <c r="AG46" i="15"/>
  <c r="AH46" i="15" s="1"/>
  <c r="AC46" i="15"/>
  <c r="AD46" i="15" s="1"/>
  <c r="AE46" i="15" s="1"/>
  <c r="P46" i="15"/>
  <c r="Q46" i="15" s="1"/>
  <c r="R46" i="15" s="1"/>
  <c r="BF45" i="15"/>
  <c r="AG45" i="15"/>
  <c r="AH45" i="15" s="1"/>
  <c r="AC45" i="15"/>
  <c r="AD45" i="15" s="1"/>
  <c r="AE45" i="15" s="1"/>
  <c r="P45" i="15"/>
  <c r="Q45" i="15" s="1"/>
  <c r="R45" i="15" s="1"/>
  <c r="BF44" i="15"/>
  <c r="AH44" i="15"/>
  <c r="AG44" i="15"/>
  <c r="AC44" i="15"/>
  <c r="AD44" i="15" s="1"/>
  <c r="AE44" i="15" s="1"/>
  <c r="Q44" i="15"/>
  <c r="R44" i="15" s="1"/>
  <c r="P44" i="15"/>
  <c r="BF43" i="15"/>
  <c r="AG43" i="15"/>
  <c r="AH43" i="15" s="1"/>
  <c r="AC43" i="15"/>
  <c r="AD43" i="15" s="1"/>
  <c r="AE43" i="15" s="1"/>
  <c r="P43" i="15"/>
  <c r="Q43" i="15" s="1"/>
  <c r="R43" i="15" s="1"/>
  <c r="BF42" i="15"/>
  <c r="AG42" i="15"/>
  <c r="AH42" i="15" s="1"/>
  <c r="AC42" i="15"/>
  <c r="AD42" i="15" s="1"/>
  <c r="AE42" i="15" s="1"/>
  <c r="P42" i="15"/>
  <c r="Q42" i="15" s="1"/>
  <c r="R42" i="15" s="1"/>
  <c r="BF41" i="15"/>
  <c r="AG41" i="15"/>
  <c r="AH41" i="15" s="1"/>
  <c r="AC41" i="15"/>
  <c r="AD41" i="15" s="1"/>
  <c r="AE41" i="15" s="1"/>
  <c r="P41" i="15"/>
  <c r="Q41" i="15" s="1"/>
  <c r="R41" i="15" s="1"/>
  <c r="BF40" i="15"/>
  <c r="AG40" i="15"/>
  <c r="AH40" i="15" s="1"/>
  <c r="AC40" i="15"/>
  <c r="AD40" i="15" s="1"/>
  <c r="AE40" i="15" s="1"/>
  <c r="P40" i="15"/>
  <c r="Q40" i="15" s="1"/>
  <c r="R40" i="15" s="1"/>
  <c r="BF39" i="15"/>
  <c r="AG39" i="15"/>
  <c r="AH39" i="15" s="1"/>
  <c r="AC39" i="15"/>
  <c r="AD39" i="15" s="1"/>
  <c r="AE39" i="15" s="1"/>
  <c r="P39" i="15"/>
  <c r="Q39" i="15" s="1"/>
  <c r="R39" i="15" s="1"/>
  <c r="BF38" i="15"/>
  <c r="AH38" i="15"/>
  <c r="AG38" i="15"/>
  <c r="AC38" i="15"/>
  <c r="AD38" i="15" s="1"/>
  <c r="AE38" i="15" s="1"/>
  <c r="P38" i="15"/>
  <c r="Q38" i="15" s="1"/>
  <c r="R38" i="15" s="1"/>
  <c r="BF37" i="15"/>
  <c r="AG37" i="15"/>
  <c r="AH37" i="15" s="1"/>
  <c r="AC37" i="15"/>
  <c r="AD37" i="15" s="1"/>
  <c r="AE37" i="15" s="1"/>
  <c r="P37" i="15"/>
  <c r="Q37" i="15" s="1"/>
  <c r="R37" i="15" s="1"/>
  <c r="BF36" i="15"/>
  <c r="AI36" i="15"/>
  <c r="AJ36" i="15" s="1"/>
  <c r="AG36" i="15"/>
  <c r="AH36" i="15" s="1"/>
  <c r="AC36" i="15"/>
  <c r="AD36" i="15" s="1"/>
  <c r="AE36" i="15" s="1"/>
  <c r="P36" i="15"/>
  <c r="Q36" i="15" s="1"/>
  <c r="R36" i="15" s="1"/>
  <c r="BF35" i="15"/>
  <c r="AG35" i="15"/>
  <c r="AH35" i="15" s="1"/>
  <c r="AC35" i="15"/>
  <c r="AD35" i="15" s="1"/>
  <c r="AE35" i="15" s="1"/>
  <c r="P35" i="15"/>
  <c r="Q35" i="15" s="1"/>
  <c r="R35" i="15" s="1"/>
  <c r="BF34" i="15"/>
  <c r="AG34" i="15"/>
  <c r="AH34" i="15" s="1"/>
  <c r="AC34" i="15"/>
  <c r="AD34" i="15" s="1"/>
  <c r="AE34" i="15" s="1"/>
  <c r="P34" i="15"/>
  <c r="Q34" i="15" s="1"/>
  <c r="R34" i="15" s="1"/>
  <c r="AG33" i="15"/>
  <c r="AH33" i="15" s="1"/>
  <c r="AI33" i="15" s="1"/>
  <c r="AJ33" i="15" s="1"/>
  <c r="AC33" i="15"/>
  <c r="AD33" i="15" s="1"/>
  <c r="AE33" i="15" s="1"/>
  <c r="Q33" i="15"/>
  <c r="R33" i="15" s="1"/>
  <c r="P33" i="15"/>
  <c r="BF31" i="15"/>
  <c r="AG31" i="15"/>
  <c r="AH31" i="15" s="1"/>
  <c r="AC31" i="15"/>
  <c r="AD31" i="15" s="1"/>
  <c r="AE31" i="15" s="1"/>
  <c r="Q31" i="15"/>
  <c r="R31" i="15" s="1"/>
  <c r="BF30" i="15"/>
  <c r="AG30" i="15"/>
  <c r="AH30" i="15" s="1"/>
  <c r="AC30" i="15"/>
  <c r="AD30" i="15" s="1"/>
  <c r="AE30" i="15" s="1"/>
  <c r="R30" i="15"/>
  <c r="Q30" i="15"/>
  <c r="BF29" i="15"/>
  <c r="AG29" i="15"/>
  <c r="AH29" i="15" s="1"/>
  <c r="AC29" i="15"/>
  <c r="AD29" i="15" s="1"/>
  <c r="AE29" i="15" s="1"/>
  <c r="Q29" i="15"/>
  <c r="R29" i="15" s="1"/>
  <c r="BF28" i="15"/>
  <c r="AM28" i="15"/>
  <c r="AG28" i="15"/>
  <c r="AH28" i="15" s="1"/>
  <c r="AC28" i="15"/>
  <c r="AD28" i="15" s="1"/>
  <c r="AE28" i="15" s="1"/>
  <c r="Q28" i="15"/>
  <c r="R28" i="15" s="1"/>
  <c r="BF27" i="15"/>
  <c r="AM27" i="15"/>
  <c r="AG27" i="15"/>
  <c r="AH27" i="15" s="1"/>
  <c r="AC27" i="15"/>
  <c r="AD27" i="15" s="1"/>
  <c r="AE27" i="15" s="1"/>
  <c r="AI27" i="15" s="1"/>
  <c r="AJ27" i="15" s="1"/>
  <c r="Q27" i="15"/>
  <c r="R27" i="15" s="1"/>
  <c r="BF26" i="15"/>
  <c r="AM26" i="15"/>
  <c r="AG26" i="15"/>
  <c r="AH26" i="15" s="1"/>
  <c r="AC26" i="15"/>
  <c r="AD26" i="15" s="1"/>
  <c r="AE26" i="15" s="1"/>
  <c r="Q26" i="15"/>
  <c r="R26" i="15" s="1"/>
  <c r="BF25" i="15"/>
  <c r="AG25" i="15"/>
  <c r="AH25" i="15" s="1"/>
  <c r="AC25" i="15"/>
  <c r="AD25" i="15" s="1"/>
  <c r="AE25" i="15" s="1"/>
  <c r="Q25" i="15"/>
  <c r="R25" i="15" s="1"/>
  <c r="BF24" i="15"/>
  <c r="AG24" i="15"/>
  <c r="AH24" i="15" s="1"/>
  <c r="AC24" i="15"/>
  <c r="AD24" i="15" s="1"/>
  <c r="AE24" i="15" s="1"/>
  <c r="Q24" i="15"/>
  <c r="R24" i="15" s="1"/>
  <c r="BF23" i="15"/>
  <c r="AG23" i="15"/>
  <c r="AH23" i="15" s="1"/>
  <c r="AC23" i="15"/>
  <c r="AD23" i="15" s="1"/>
  <c r="AE23" i="15" s="1"/>
  <c r="Q23" i="15"/>
  <c r="R23" i="15" s="1"/>
  <c r="BF22" i="15"/>
  <c r="AM22" i="15"/>
  <c r="AG22" i="15"/>
  <c r="AH22" i="15" s="1"/>
  <c r="AC22" i="15"/>
  <c r="AD22" i="15" s="1"/>
  <c r="AE22" i="15" s="1"/>
  <c r="Q22" i="15"/>
  <c r="R22" i="15" s="1"/>
  <c r="BF21" i="15"/>
  <c r="AM21" i="15"/>
  <c r="AG21" i="15"/>
  <c r="AH21" i="15" s="1"/>
  <c r="AC21" i="15"/>
  <c r="AD21" i="15" s="1"/>
  <c r="AE21" i="15" s="1"/>
  <c r="Q21" i="15"/>
  <c r="R21" i="15" s="1"/>
  <c r="BF20" i="15"/>
  <c r="AM20" i="15"/>
  <c r="AM23" i="15" s="1"/>
  <c r="AG20" i="15"/>
  <c r="AH20" i="15" s="1"/>
  <c r="AC20" i="15"/>
  <c r="AD20" i="15" s="1"/>
  <c r="AE20" i="15" s="1"/>
  <c r="R20" i="15"/>
  <c r="Q20" i="15"/>
  <c r="BF19" i="15"/>
  <c r="AH19" i="15"/>
  <c r="AG19" i="15"/>
  <c r="AC19" i="15"/>
  <c r="AD19" i="15" s="1"/>
  <c r="AE19" i="15" s="1"/>
  <c r="Q19" i="15"/>
  <c r="R19" i="15" s="1"/>
  <c r="BF18" i="15"/>
  <c r="AG18" i="15"/>
  <c r="AH18" i="15" s="1"/>
  <c r="AC18" i="15"/>
  <c r="AD18" i="15" s="1"/>
  <c r="AE18" i="15" s="1"/>
  <c r="Q18" i="15"/>
  <c r="R18" i="15" s="1"/>
  <c r="BF17" i="15"/>
  <c r="AG17" i="15"/>
  <c r="AH17" i="15" s="1"/>
  <c r="AC17" i="15"/>
  <c r="AD17" i="15" s="1"/>
  <c r="AE17" i="15" s="1"/>
  <c r="Q17" i="15"/>
  <c r="R17" i="15" s="1"/>
  <c r="BF16" i="15"/>
  <c r="AH16" i="15"/>
  <c r="AG16" i="15"/>
  <c r="AC16" i="15"/>
  <c r="AD16" i="15" s="1"/>
  <c r="AE16" i="15" s="1"/>
  <c r="Q16" i="15"/>
  <c r="R16" i="15" s="1"/>
  <c r="BF15" i="15"/>
  <c r="AG15" i="15"/>
  <c r="AH15" i="15" s="1"/>
  <c r="AC15" i="15"/>
  <c r="AD15" i="15" s="1"/>
  <c r="AE15" i="15" s="1"/>
  <c r="Q15" i="15"/>
  <c r="R15" i="15" s="1"/>
  <c r="BF14" i="15"/>
  <c r="AG14" i="15"/>
  <c r="AH14" i="15" s="1"/>
  <c r="AC14" i="15"/>
  <c r="AD14" i="15" s="1"/>
  <c r="AE14" i="15" s="1"/>
  <c r="Q14" i="15"/>
  <c r="R14" i="15" s="1"/>
  <c r="BF13" i="15"/>
  <c r="AG13" i="15"/>
  <c r="AH13" i="15" s="1"/>
  <c r="AC13" i="15"/>
  <c r="AD13" i="15" s="1"/>
  <c r="AE13" i="15" s="1"/>
  <c r="Q13" i="15"/>
  <c r="R13" i="15" s="1"/>
  <c r="BF12" i="15"/>
  <c r="AG12" i="15"/>
  <c r="AH12" i="15" s="1"/>
  <c r="AC12" i="15"/>
  <c r="AD12" i="15" s="1"/>
  <c r="AE12" i="15" s="1"/>
  <c r="Q12" i="15"/>
  <c r="R12" i="15" s="1"/>
  <c r="AM11" i="15"/>
  <c r="AM10" i="15"/>
  <c r="AC10" i="15"/>
  <c r="P10" i="15"/>
  <c r="BF58" i="14"/>
  <c r="BF57" i="14"/>
  <c r="BF54" i="14"/>
  <c r="BF53" i="14"/>
  <c r="BF52" i="14"/>
  <c r="AG52" i="14"/>
  <c r="AH52" i="14" s="1"/>
  <c r="AC52" i="14"/>
  <c r="AD52" i="14" s="1"/>
  <c r="AE52" i="14" s="1"/>
  <c r="P52" i="14"/>
  <c r="Q52" i="14" s="1"/>
  <c r="R52" i="14" s="1"/>
  <c r="BF51" i="14"/>
  <c r="AG51" i="14"/>
  <c r="AH51" i="14" s="1"/>
  <c r="AC51" i="14"/>
  <c r="AD51" i="14" s="1"/>
  <c r="AE51" i="14" s="1"/>
  <c r="P51" i="14"/>
  <c r="Q51" i="14" s="1"/>
  <c r="R51" i="14" s="1"/>
  <c r="BF50" i="14"/>
  <c r="AG50" i="14"/>
  <c r="AH50" i="14" s="1"/>
  <c r="AC50" i="14"/>
  <c r="AD50" i="14" s="1"/>
  <c r="AE50" i="14" s="1"/>
  <c r="P50" i="14"/>
  <c r="Q50" i="14" s="1"/>
  <c r="R50" i="14" s="1"/>
  <c r="BF49" i="14"/>
  <c r="AG49" i="14"/>
  <c r="AH49" i="14" s="1"/>
  <c r="AC49" i="14"/>
  <c r="AD49" i="14" s="1"/>
  <c r="AE49" i="14" s="1"/>
  <c r="P49" i="14"/>
  <c r="Q49" i="14" s="1"/>
  <c r="R49" i="14" s="1"/>
  <c r="AI49" i="14" s="1"/>
  <c r="AJ49" i="14" s="1"/>
  <c r="BF48" i="14"/>
  <c r="AG48" i="14"/>
  <c r="AH48" i="14" s="1"/>
  <c r="AC48" i="14"/>
  <c r="AD48" i="14" s="1"/>
  <c r="AE48" i="14" s="1"/>
  <c r="Q48" i="14"/>
  <c r="R48" i="14" s="1"/>
  <c r="P48" i="14"/>
  <c r="BF47" i="14"/>
  <c r="AG47" i="14"/>
  <c r="AH47" i="14" s="1"/>
  <c r="AC47" i="14"/>
  <c r="AD47" i="14" s="1"/>
  <c r="AE47" i="14" s="1"/>
  <c r="P47" i="14"/>
  <c r="Q47" i="14" s="1"/>
  <c r="R47" i="14" s="1"/>
  <c r="BF46" i="14"/>
  <c r="AG46" i="14"/>
  <c r="AH46" i="14" s="1"/>
  <c r="AC46" i="14"/>
  <c r="AD46" i="14" s="1"/>
  <c r="AE46" i="14" s="1"/>
  <c r="P46" i="14"/>
  <c r="Q46" i="14" s="1"/>
  <c r="R46" i="14" s="1"/>
  <c r="BF45" i="14"/>
  <c r="AG45" i="14"/>
  <c r="AH45" i="14" s="1"/>
  <c r="AC45" i="14"/>
  <c r="AD45" i="14" s="1"/>
  <c r="AE45" i="14" s="1"/>
  <c r="P45" i="14"/>
  <c r="Q45" i="14" s="1"/>
  <c r="R45" i="14" s="1"/>
  <c r="BF44" i="14"/>
  <c r="AG44" i="14"/>
  <c r="AH44" i="14" s="1"/>
  <c r="AC44" i="14"/>
  <c r="AD44" i="14" s="1"/>
  <c r="AE44" i="14" s="1"/>
  <c r="P44" i="14"/>
  <c r="Q44" i="14" s="1"/>
  <c r="R44" i="14" s="1"/>
  <c r="BF43" i="14"/>
  <c r="AG43" i="14"/>
  <c r="AH43" i="14" s="1"/>
  <c r="AC43" i="14"/>
  <c r="AD43" i="14" s="1"/>
  <c r="AE43" i="14" s="1"/>
  <c r="P43" i="14"/>
  <c r="Q43" i="14" s="1"/>
  <c r="R43" i="14" s="1"/>
  <c r="BF42" i="14"/>
  <c r="AG42" i="14"/>
  <c r="AH42" i="14" s="1"/>
  <c r="AC42" i="14"/>
  <c r="AD42" i="14" s="1"/>
  <c r="AE42" i="14" s="1"/>
  <c r="P42" i="14"/>
  <c r="Q42" i="14" s="1"/>
  <c r="R42" i="14" s="1"/>
  <c r="BF41" i="14"/>
  <c r="AG41" i="14"/>
  <c r="AH41" i="14" s="1"/>
  <c r="AC41" i="14"/>
  <c r="AD41" i="14" s="1"/>
  <c r="AE41" i="14" s="1"/>
  <c r="P41" i="14"/>
  <c r="Q41" i="14" s="1"/>
  <c r="R41" i="14" s="1"/>
  <c r="BF40" i="14"/>
  <c r="AG40" i="14"/>
  <c r="AH40" i="14" s="1"/>
  <c r="AC40" i="14"/>
  <c r="AD40" i="14" s="1"/>
  <c r="AE40" i="14" s="1"/>
  <c r="P40" i="14"/>
  <c r="Q40" i="14" s="1"/>
  <c r="R40" i="14" s="1"/>
  <c r="BF39" i="14"/>
  <c r="AG39" i="14"/>
  <c r="AH39" i="14" s="1"/>
  <c r="AC39" i="14"/>
  <c r="AD39" i="14" s="1"/>
  <c r="AE39" i="14" s="1"/>
  <c r="P39" i="14"/>
  <c r="Q39" i="14" s="1"/>
  <c r="R39" i="14" s="1"/>
  <c r="BF38" i="14"/>
  <c r="AG38" i="14"/>
  <c r="AH38" i="14" s="1"/>
  <c r="AC38" i="14"/>
  <c r="AD38" i="14" s="1"/>
  <c r="AE38" i="14" s="1"/>
  <c r="Q38" i="14"/>
  <c r="R38" i="14" s="1"/>
  <c r="P38" i="14"/>
  <c r="BF37" i="14"/>
  <c r="AG37" i="14"/>
  <c r="AH37" i="14" s="1"/>
  <c r="AC37" i="14"/>
  <c r="AD37" i="14" s="1"/>
  <c r="AE37" i="14" s="1"/>
  <c r="AI37" i="14" s="1"/>
  <c r="AJ37" i="14" s="1"/>
  <c r="P37" i="14"/>
  <c r="Q37" i="14" s="1"/>
  <c r="R37" i="14" s="1"/>
  <c r="BF36" i="14"/>
  <c r="AG36" i="14"/>
  <c r="AH36" i="14" s="1"/>
  <c r="AI36" i="14" s="1"/>
  <c r="AJ36" i="14" s="1"/>
  <c r="AC36" i="14"/>
  <c r="AD36" i="14" s="1"/>
  <c r="AE36" i="14" s="1"/>
  <c r="Q36" i="14"/>
  <c r="R36" i="14" s="1"/>
  <c r="P36" i="14"/>
  <c r="BF35" i="14"/>
  <c r="AG35" i="14"/>
  <c r="AH35" i="14" s="1"/>
  <c r="AD35" i="14"/>
  <c r="AE35" i="14" s="1"/>
  <c r="AC35" i="14"/>
  <c r="P35" i="14"/>
  <c r="Q35" i="14" s="1"/>
  <c r="R35" i="14" s="1"/>
  <c r="BF34" i="14"/>
  <c r="AH34" i="14"/>
  <c r="AG34" i="14"/>
  <c r="AC34" i="14"/>
  <c r="AD34" i="14" s="1"/>
  <c r="AE34" i="14" s="1"/>
  <c r="P34" i="14"/>
  <c r="Q34" i="14" s="1"/>
  <c r="R34" i="14" s="1"/>
  <c r="AI34" i="14" s="1"/>
  <c r="AJ34" i="14" s="1"/>
  <c r="AG33" i="14"/>
  <c r="AH33" i="14" s="1"/>
  <c r="AC33" i="14"/>
  <c r="AD33" i="14" s="1"/>
  <c r="AE33" i="14" s="1"/>
  <c r="P33" i="14"/>
  <c r="Q33" i="14" s="1"/>
  <c r="R33" i="14" s="1"/>
  <c r="BF31" i="14"/>
  <c r="AG31" i="14"/>
  <c r="AH31" i="14" s="1"/>
  <c r="AC31" i="14"/>
  <c r="AD31" i="14" s="1"/>
  <c r="AE31" i="14" s="1"/>
  <c r="Q31" i="14"/>
  <c r="R31" i="14" s="1"/>
  <c r="BF30" i="14"/>
  <c r="AG30" i="14"/>
  <c r="AH30" i="14" s="1"/>
  <c r="AC30" i="14"/>
  <c r="AD30" i="14" s="1"/>
  <c r="AE30" i="14" s="1"/>
  <c r="R30" i="14"/>
  <c r="Q30" i="14"/>
  <c r="BF29" i="14"/>
  <c r="AG29" i="14"/>
  <c r="AH29" i="14" s="1"/>
  <c r="AC29" i="14"/>
  <c r="AD29" i="14" s="1"/>
  <c r="AE29" i="14" s="1"/>
  <c r="Q29" i="14"/>
  <c r="R29" i="14" s="1"/>
  <c r="BF28" i="14"/>
  <c r="AM28" i="14"/>
  <c r="AG28" i="14"/>
  <c r="AH28" i="14" s="1"/>
  <c r="AC28" i="14"/>
  <c r="AD28" i="14" s="1"/>
  <c r="AE28" i="14" s="1"/>
  <c r="Q28" i="14"/>
  <c r="R28" i="14" s="1"/>
  <c r="BF27" i="14"/>
  <c r="AM27" i="14"/>
  <c r="AG27" i="14"/>
  <c r="AH27" i="14" s="1"/>
  <c r="AC27" i="14"/>
  <c r="AD27" i="14" s="1"/>
  <c r="AE27" i="14" s="1"/>
  <c r="Q27" i="14"/>
  <c r="R27" i="14" s="1"/>
  <c r="BF26" i="14"/>
  <c r="AM26" i="14"/>
  <c r="AG26" i="14"/>
  <c r="AH26" i="14" s="1"/>
  <c r="AC26" i="14"/>
  <c r="AD26" i="14" s="1"/>
  <c r="AE26" i="14" s="1"/>
  <c r="Q26" i="14"/>
  <c r="R26" i="14" s="1"/>
  <c r="BF25" i="14"/>
  <c r="AG25" i="14"/>
  <c r="AH25" i="14" s="1"/>
  <c r="AC25" i="14"/>
  <c r="AD25" i="14" s="1"/>
  <c r="AE25" i="14" s="1"/>
  <c r="Q25" i="14"/>
  <c r="R25" i="14" s="1"/>
  <c r="BF24" i="14"/>
  <c r="AH24" i="14"/>
  <c r="AG24" i="14"/>
  <c r="AC24" i="14"/>
  <c r="AD24" i="14" s="1"/>
  <c r="AE24" i="14" s="1"/>
  <c r="Q24" i="14"/>
  <c r="R24" i="14" s="1"/>
  <c r="BF23" i="14"/>
  <c r="AG23" i="14"/>
  <c r="AH23" i="14" s="1"/>
  <c r="AC23" i="14"/>
  <c r="AD23" i="14" s="1"/>
  <c r="AE23" i="14" s="1"/>
  <c r="Q23" i="14"/>
  <c r="R23" i="14" s="1"/>
  <c r="BF22" i="14"/>
  <c r="AM22" i="14"/>
  <c r="AG22" i="14"/>
  <c r="AH22" i="14" s="1"/>
  <c r="AC22" i="14"/>
  <c r="AD22" i="14" s="1"/>
  <c r="AE22" i="14" s="1"/>
  <c r="Q22" i="14"/>
  <c r="R22" i="14" s="1"/>
  <c r="BF21" i="14"/>
  <c r="AM21" i="14"/>
  <c r="AG21" i="14"/>
  <c r="AH21" i="14" s="1"/>
  <c r="AC21" i="14"/>
  <c r="AD21" i="14" s="1"/>
  <c r="AE21" i="14" s="1"/>
  <c r="Q21" i="14"/>
  <c r="R21" i="14" s="1"/>
  <c r="BF20" i="14"/>
  <c r="AM20" i="14"/>
  <c r="AM23" i="14" s="1"/>
  <c r="AH20" i="14"/>
  <c r="AG20" i="14"/>
  <c r="AC20" i="14"/>
  <c r="AD20" i="14" s="1"/>
  <c r="AE20" i="14" s="1"/>
  <c r="Q20" i="14"/>
  <c r="R20" i="14" s="1"/>
  <c r="BF19" i="14"/>
  <c r="AG19" i="14"/>
  <c r="AH19" i="14" s="1"/>
  <c r="AC19" i="14"/>
  <c r="AD19" i="14" s="1"/>
  <c r="AE19" i="14" s="1"/>
  <c r="Q19" i="14"/>
  <c r="R19" i="14" s="1"/>
  <c r="BF18" i="14"/>
  <c r="AG18" i="14"/>
  <c r="AH18" i="14" s="1"/>
  <c r="AC18" i="14"/>
  <c r="AD18" i="14" s="1"/>
  <c r="AE18" i="14" s="1"/>
  <c r="Q18" i="14"/>
  <c r="R18" i="14" s="1"/>
  <c r="BF17" i="14"/>
  <c r="AG17" i="14"/>
  <c r="AH17" i="14" s="1"/>
  <c r="AC17" i="14"/>
  <c r="AD17" i="14" s="1"/>
  <c r="AE17" i="14" s="1"/>
  <c r="Q17" i="14"/>
  <c r="R17" i="14" s="1"/>
  <c r="BF16" i="14"/>
  <c r="AH16" i="14"/>
  <c r="AG16" i="14"/>
  <c r="AC16" i="14"/>
  <c r="AD16" i="14" s="1"/>
  <c r="AE16" i="14" s="1"/>
  <c r="Q16" i="14"/>
  <c r="R16" i="14" s="1"/>
  <c r="BF15" i="14"/>
  <c r="AG15" i="14"/>
  <c r="AH15" i="14" s="1"/>
  <c r="AC15" i="14"/>
  <c r="AD15" i="14" s="1"/>
  <c r="AE15" i="14" s="1"/>
  <c r="R15" i="14"/>
  <c r="Q15" i="14"/>
  <c r="BF14" i="14"/>
  <c r="AG14" i="14"/>
  <c r="AH14" i="14" s="1"/>
  <c r="AC14" i="14"/>
  <c r="AD14" i="14" s="1"/>
  <c r="AE14" i="14" s="1"/>
  <c r="Q14" i="14"/>
  <c r="R14" i="14" s="1"/>
  <c r="BF13" i="14"/>
  <c r="AG13" i="14"/>
  <c r="AH13" i="14" s="1"/>
  <c r="AC13" i="14"/>
  <c r="AD13" i="14" s="1"/>
  <c r="AE13" i="14" s="1"/>
  <c r="Q13" i="14"/>
  <c r="R13" i="14" s="1"/>
  <c r="BF12" i="14"/>
  <c r="AG12" i="14"/>
  <c r="AH12" i="14" s="1"/>
  <c r="AC12" i="14"/>
  <c r="AD12" i="14" s="1"/>
  <c r="AE12" i="14" s="1"/>
  <c r="Q12" i="14"/>
  <c r="R12" i="14" s="1"/>
  <c r="AM11" i="14"/>
  <c r="AM10" i="14"/>
  <c r="AC10" i="14"/>
  <c r="P10" i="14"/>
  <c r="BF58" i="13"/>
  <c r="BF57" i="13"/>
  <c r="BF54" i="13"/>
  <c r="BF53" i="13"/>
  <c r="BF52" i="13"/>
  <c r="AG52" i="13"/>
  <c r="AH52" i="13" s="1"/>
  <c r="AC52" i="13"/>
  <c r="AD52" i="13" s="1"/>
  <c r="AE52" i="13" s="1"/>
  <c r="P52" i="13"/>
  <c r="Q52" i="13" s="1"/>
  <c r="R52" i="13" s="1"/>
  <c r="BF51" i="13"/>
  <c r="AG51" i="13"/>
  <c r="AH51" i="13" s="1"/>
  <c r="AC51" i="13"/>
  <c r="AD51" i="13" s="1"/>
  <c r="AE51" i="13" s="1"/>
  <c r="P51" i="13"/>
  <c r="Q51" i="13" s="1"/>
  <c r="R51" i="13" s="1"/>
  <c r="BF50" i="13"/>
  <c r="AG50" i="13"/>
  <c r="AH50" i="13" s="1"/>
  <c r="AC50" i="13"/>
  <c r="AD50" i="13" s="1"/>
  <c r="AE50" i="13" s="1"/>
  <c r="P50" i="13"/>
  <c r="Q50" i="13" s="1"/>
  <c r="R50" i="13" s="1"/>
  <c r="BF49" i="13"/>
  <c r="AG49" i="13"/>
  <c r="AH49" i="13" s="1"/>
  <c r="AC49" i="13"/>
  <c r="AD49" i="13" s="1"/>
  <c r="AE49" i="13" s="1"/>
  <c r="P49" i="13"/>
  <c r="Q49" i="13" s="1"/>
  <c r="R49" i="13" s="1"/>
  <c r="BF48" i="13"/>
  <c r="AG48" i="13"/>
  <c r="AH48" i="13" s="1"/>
  <c r="AC48" i="13"/>
  <c r="AD48" i="13" s="1"/>
  <c r="AE48" i="13" s="1"/>
  <c r="P48" i="13"/>
  <c r="Q48" i="13" s="1"/>
  <c r="R48" i="13" s="1"/>
  <c r="BF47" i="13"/>
  <c r="AH47" i="13"/>
  <c r="AG47" i="13"/>
  <c r="AC47" i="13"/>
  <c r="AD47" i="13" s="1"/>
  <c r="AE47" i="13" s="1"/>
  <c r="P47" i="13"/>
  <c r="Q47" i="13" s="1"/>
  <c r="R47" i="13" s="1"/>
  <c r="BF46" i="13"/>
  <c r="AG46" i="13"/>
  <c r="AH46" i="13" s="1"/>
  <c r="AC46" i="13"/>
  <c r="AD46" i="13" s="1"/>
  <c r="AE46" i="13" s="1"/>
  <c r="P46" i="13"/>
  <c r="Q46" i="13" s="1"/>
  <c r="R46" i="13" s="1"/>
  <c r="BF45" i="13"/>
  <c r="AG45" i="13"/>
  <c r="AH45" i="13" s="1"/>
  <c r="AC45" i="13"/>
  <c r="AD45" i="13" s="1"/>
  <c r="AE45" i="13" s="1"/>
  <c r="P45" i="13"/>
  <c r="Q45" i="13" s="1"/>
  <c r="R45" i="13" s="1"/>
  <c r="BF44" i="13"/>
  <c r="AG44" i="13"/>
  <c r="AH44" i="13" s="1"/>
  <c r="AC44" i="13"/>
  <c r="AD44" i="13" s="1"/>
  <c r="AE44" i="13" s="1"/>
  <c r="Q44" i="13"/>
  <c r="R44" i="13" s="1"/>
  <c r="P44" i="13"/>
  <c r="BF43" i="13"/>
  <c r="AG43" i="13"/>
  <c r="AH43" i="13" s="1"/>
  <c r="AC43" i="13"/>
  <c r="AD43" i="13" s="1"/>
  <c r="AE43" i="13" s="1"/>
  <c r="P43" i="13"/>
  <c r="Q43" i="13" s="1"/>
  <c r="R43" i="13" s="1"/>
  <c r="BF42" i="13"/>
  <c r="AG42" i="13"/>
  <c r="AH42" i="13" s="1"/>
  <c r="AC42" i="13"/>
  <c r="AD42" i="13" s="1"/>
  <c r="AE42" i="13" s="1"/>
  <c r="P42" i="13"/>
  <c r="Q42" i="13" s="1"/>
  <c r="R42" i="13" s="1"/>
  <c r="BF41" i="13"/>
  <c r="AG41" i="13"/>
  <c r="AH41" i="13" s="1"/>
  <c r="AC41" i="13"/>
  <c r="AD41" i="13" s="1"/>
  <c r="AE41" i="13" s="1"/>
  <c r="P41" i="13"/>
  <c r="Q41" i="13" s="1"/>
  <c r="R41" i="13" s="1"/>
  <c r="BF40" i="13"/>
  <c r="AG40" i="13"/>
  <c r="AH40" i="13" s="1"/>
  <c r="AC40" i="13"/>
  <c r="AD40" i="13" s="1"/>
  <c r="AE40" i="13" s="1"/>
  <c r="P40" i="13"/>
  <c r="Q40" i="13" s="1"/>
  <c r="R40" i="13" s="1"/>
  <c r="BF39" i="13"/>
  <c r="AG39" i="13"/>
  <c r="AH39" i="13" s="1"/>
  <c r="AC39" i="13"/>
  <c r="AD39" i="13" s="1"/>
  <c r="AE39" i="13" s="1"/>
  <c r="P39" i="13"/>
  <c r="Q39" i="13" s="1"/>
  <c r="R39" i="13" s="1"/>
  <c r="BF38" i="13"/>
  <c r="AG38" i="13"/>
  <c r="AH38" i="13" s="1"/>
  <c r="AC38" i="13"/>
  <c r="AD38" i="13" s="1"/>
  <c r="AE38" i="13" s="1"/>
  <c r="Q38" i="13"/>
  <c r="R38" i="13" s="1"/>
  <c r="P38" i="13"/>
  <c r="BF37" i="13"/>
  <c r="AG37" i="13"/>
  <c r="AH37" i="13" s="1"/>
  <c r="AC37" i="13"/>
  <c r="AD37" i="13" s="1"/>
  <c r="AE37" i="13" s="1"/>
  <c r="P37" i="13"/>
  <c r="Q37" i="13" s="1"/>
  <c r="R37" i="13" s="1"/>
  <c r="BF36" i="13"/>
  <c r="AG36" i="13"/>
  <c r="AH36" i="13" s="1"/>
  <c r="AC36" i="13"/>
  <c r="AD36" i="13" s="1"/>
  <c r="AE36" i="13" s="1"/>
  <c r="Q36" i="13"/>
  <c r="R36" i="13" s="1"/>
  <c r="P36" i="13"/>
  <c r="BF35" i="13"/>
  <c r="AG35" i="13"/>
  <c r="AH35" i="13" s="1"/>
  <c r="AC35" i="13"/>
  <c r="AD35" i="13" s="1"/>
  <c r="AE35" i="13" s="1"/>
  <c r="P35" i="13"/>
  <c r="Q35" i="13" s="1"/>
  <c r="R35" i="13" s="1"/>
  <c r="BF34" i="13"/>
  <c r="AG34" i="13"/>
  <c r="AH34" i="13" s="1"/>
  <c r="AC34" i="13"/>
  <c r="AD34" i="13" s="1"/>
  <c r="AE34" i="13" s="1"/>
  <c r="P34" i="13"/>
  <c r="Q34" i="13" s="1"/>
  <c r="R34" i="13" s="1"/>
  <c r="AG33" i="13"/>
  <c r="AH33" i="13" s="1"/>
  <c r="AC33" i="13"/>
  <c r="AD33" i="13" s="1"/>
  <c r="AE33" i="13" s="1"/>
  <c r="P33" i="13"/>
  <c r="Q33" i="13" s="1"/>
  <c r="R33" i="13" s="1"/>
  <c r="BF31" i="13"/>
  <c r="AG31" i="13"/>
  <c r="AH31" i="13" s="1"/>
  <c r="AC31" i="13"/>
  <c r="AD31" i="13" s="1"/>
  <c r="AE31" i="13" s="1"/>
  <c r="Q31" i="13"/>
  <c r="R31" i="13" s="1"/>
  <c r="BF30" i="13"/>
  <c r="AG30" i="13"/>
  <c r="AH30" i="13" s="1"/>
  <c r="AD30" i="13"/>
  <c r="AE30" i="13" s="1"/>
  <c r="AC30" i="13"/>
  <c r="Q30" i="13"/>
  <c r="R30" i="13" s="1"/>
  <c r="BF29" i="13"/>
  <c r="AG29" i="13"/>
  <c r="AH29" i="13" s="1"/>
  <c r="AC29" i="13"/>
  <c r="AD29" i="13" s="1"/>
  <c r="AE29" i="13" s="1"/>
  <c r="Q29" i="13"/>
  <c r="R29" i="13" s="1"/>
  <c r="BF28" i="13"/>
  <c r="AM28" i="13"/>
  <c r="AG28" i="13"/>
  <c r="AH28" i="13" s="1"/>
  <c r="AC28" i="13"/>
  <c r="AD28" i="13" s="1"/>
  <c r="AE28" i="13" s="1"/>
  <c r="Q28" i="13"/>
  <c r="R28" i="13" s="1"/>
  <c r="BF27" i="13"/>
  <c r="AM27" i="13"/>
  <c r="AG27" i="13"/>
  <c r="AH27" i="13" s="1"/>
  <c r="AC27" i="13"/>
  <c r="AD27" i="13" s="1"/>
  <c r="AE27" i="13" s="1"/>
  <c r="Q27" i="13"/>
  <c r="R27" i="13" s="1"/>
  <c r="BF26" i="13"/>
  <c r="AM26" i="13"/>
  <c r="AG26" i="13"/>
  <c r="AH26" i="13" s="1"/>
  <c r="AD26" i="13"/>
  <c r="AE26" i="13" s="1"/>
  <c r="AC26" i="13"/>
  <c r="Q26" i="13"/>
  <c r="R26" i="13" s="1"/>
  <c r="BF25" i="13"/>
  <c r="AG25" i="13"/>
  <c r="AH25" i="13" s="1"/>
  <c r="AC25" i="13"/>
  <c r="AD25" i="13" s="1"/>
  <c r="AE25" i="13" s="1"/>
  <c r="Q25" i="13"/>
  <c r="R25" i="13" s="1"/>
  <c r="BF24" i="13"/>
  <c r="AG24" i="13"/>
  <c r="AH24" i="13" s="1"/>
  <c r="AC24" i="13"/>
  <c r="AD24" i="13" s="1"/>
  <c r="AE24" i="13" s="1"/>
  <c r="Q24" i="13"/>
  <c r="R24" i="13" s="1"/>
  <c r="BF23" i="13"/>
  <c r="AG23" i="13"/>
  <c r="AH23" i="13" s="1"/>
  <c r="AC23" i="13"/>
  <c r="AD23" i="13" s="1"/>
  <c r="AE23" i="13" s="1"/>
  <c r="Q23" i="13"/>
  <c r="R23" i="13" s="1"/>
  <c r="BF22" i="13"/>
  <c r="AM22" i="13"/>
  <c r="AG22" i="13"/>
  <c r="AH22" i="13" s="1"/>
  <c r="AC22" i="13"/>
  <c r="AD22" i="13" s="1"/>
  <c r="AE22" i="13" s="1"/>
  <c r="Q22" i="13"/>
  <c r="R22" i="13" s="1"/>
  <c r="BF21" i="13"/>
  <c r="AM21" i="13"/>
  <c r="AG21" i="13"/>
  <c r="AH21" i="13" s="1"/>
  <c r="AC21" i="13"/>
  <c r="AD21" i="13" s="1"/>
  <c r="AE21" i="13" s="1"/>
  <c r="Q21" i="13"/>
  <c r="R21" i="13" s="1"/>
  <c r="BF20" i="13"/>
  <c r="AM20" i="13"/>
  <c r="AM23" i="13" s="1"/>
  <c r="AG20" i="13"/>
  <c r="AH20" i="13" s="1"/>
  <c r="AC20" i="13"/>
  <c r="AD20" i="13" s="1"/>
  <c r="AE20" i="13" s="1"/>
  <c r="Q20" i="13"/>
  <c r="R20" i="13" s="1"/>
  <c r="BF19" i="13"/>
  <c r="AG19" i="13"/>
  <c r="AH19" i="13" s="1"/>
  <c r="AC19" i="13"/>
  <c r="AD19" i="13" s="1"/>
  <c r="AE19" i="13" s="1"/>
  <c r="Q19" i="13"/>
  <c r="R19" i="13" s="1"/>
  <c r="BF18" i="13"/>
  <c r="AG18" i="13"/>
  <c r="AH18" i="13" s="1"/>
  <c r="AC18" i="13"/>
  <c r="AD18" i="13" s="1"/>
  <c r="AE18" i="13" s="1"/>
  <c r="Q18" i="13"/>
  <c r="R18" i="13" s="1"/>
  <c r="BF17" i="13"/>
  <c r="AG17" i="13"/>
  <c r="AH17" i="13" s="1"/>
  <c r="AC17" i="13"/>
  <c r="AD17" i="13" s="1"/>
  <c r="AE17" i="13" s="1"/>
  <c r="Q17" i="13"/>
  <c r="R17" i="13" s="1"/>
  <c r="BF16" i="13"/>
  <c r="AG16" i="13"/>
  <c r="AH16" i="13" s="1"/>
  <c r="AC16" i="13"/>
  <c r="AD16" i="13" s="1"/>
  <c r="AE16" i="13" s="1"/>
  <c r="Q16" i="13"/>
  <c r="R16" i="13" s="1"/>
  <c r="AI16" i="13" s="1"/>
  <c r="AJ16" i="13" s="1"/>
  <c r="BF15" i="13"/>
  <c r="AG15" i="13"/>
  <c r="AH15" i="13" s="1"/>
  <c r="AC15" i="13"/>
  <c r="AD15" i="13" s="1"/>
  <c r="AE15" i="13" s="1"/>
  <c r="Q15" i="13"/>
  <c r="R15" i="13" s="1"/>
  <c r="BF14" i="13"/>
  <c r="AH14" i="13"/>
  <c r="AG14" i="13"/>
  <c r="AC14" i="13"/>
  <c r="AD14" i="13" s="1"/>
  <c r="AE14" i="13" s="1"/>
  <c r="Q14" i="13"/>
  <c r="R14" i="13" s="1"/>
  <c r="BF13" i="13"/>
  <c r="AG13" i="13"/>
  <c r="AH13" i="13" s="1"/>
  <c r="AC13" i="13"/>
  <c r="AD13" i="13" s="1"/>
  <c r="AE13" i="13" s="1"/>
  <c r="Q13" i="13"/>
  <c r="R13" i="13" s="1"/>
  <c r="BF12" i="13"/>
  <c r="AG12" i="13"/>
  <c r="AH12" i="13" s="1"/>
  <c r="AC12" i="13"/>
  <c r="AD12" i="13" s="1"/>
  <c r="AE12" i="13" s="1"/>
  <c r="Q12" i="13"/>
  <c r="R12" i="13" s="1"/>
  <c r="AM11" i="13"/>
  <c r="AM10" i="13"/>
  <c r="AC10" i="13"/>
  <c r="P10" i="13"/>
  <c r="AG17" i="2"/>
  <c r="AH17" i="2" s="1"/>
  <c r="AG16" i="2"/>
  <c r="AH16" i="2" s="1"/>
  <c r="AC18" i="2"/>
  <c r="AD18" i="2" s="1"/>
  <c r="AE18" i="2" s="1"/>
  <c r="AC17" i="2"/>
  <c r="AD17" i="2" s="1"/>
  <c r="AE17" i="2" s="1"/>
  <c r="AC16" i="2"/>
  <c r="AD16" i="2" s="1"/>
  <c r="AE16" i="2" s="1"/>
  <c r="AG31" i="2"/>
  <c r="AH31" i="2" s="1"/>
  <c r="AC31" i="2"/>
  <c r="AD31" i="2" s="1"/>
  <c r="AE31" i="2" s="1"/>
  <c r="Q31" i="2"/>
  <c r="R31" i="2" s="1"/>
  <c r="AG30" i="2"/>
  <c r="AH30" i="2" s="1"/>
  <c r="AC30" i="2"/>
  <c r="AD30" i="2" s="1"/>
  <c r="AE30" i="2" s="1"/>
  <c r="Q30" i="2"/>
  <c r="R30" i="2" s="1"/>
  <c r="AG29" i="2"/>
  <c r="AH29" i="2" s="1"/>
  <c r="AC29" i="2"/>
  <c r="AD29" i="2" s="1"/>
  <c r="AE29" i="2" s="1"/>
  <c r="Q29" i="2"/>
  <c r="R29" i="2" s="1"/>
  <c r="AG28" i="2"/>
  <c r="AH28" i="2" s="1"/>
  <c r="AC28" i="2"/>
  <c r="AD28" i="2" s="1"/>
  <c r="AE28" i="2" s="1"/>
  <c r="Q28" i="2"/>
  <c r="R28" i="2" s="1"/>
  <c r="AG27" i="2"/>
  <c r="AH27" i="2" s="1"/>
  <c r="AC27" i="2"/>
  <c r="AD27" i="2" s="1"/>
  <c r="AE27" i="2" s="1"/>
  <c r="Q27" i="2"/>
  <c r="R27" i="2" s="1"/>
  <c r="AG26" i="2"/>
  <c r="AH26" i="2" s="1"/>
  <c r="AC26" i="2"/>
  <c r="AD26" i="2" s="1"/>
  <c r="AE26" i="2" s="1"/>
  <c r="Q26" i="2"/>
  <c r="R26" i="2" s="1"/>
  <c r="AG25" i="2"/>
  <c r="AH25" i="2" s="1"/>
  <c r="AC25" i="2"/>
  <c r="AD25" i="2" s="1"/>
  <c r="AE25" i="2" s="1"/>
  <c r="Q25" i="2"/>
  <c r="R25" i="2" s="1"/>
  <c r="AG24" i="2"/>
  <c r="AH24" i="2" s="1"/>
  <c r="AC24" i="2"/>
  <c r="AD24" i="2" s="1"/>
  <c r="AE24" i="2" s="1"/>
  <c r="Q24" i="2"/>
  <c r="R24" i="2" s="1"/>
  <c r="AG23" i="2"/>
  <c r="AH23" i="2" s="1"/>
  <c r="AC23" i="2"/>
  <c r="AD23" i="2" s="1"/>
  <c r="AE23" i="2" s="1"/>
  <c r="Q23" i="2"/>
  <c r="R23" i="2" s="1"/>
  <c r="AG22" i="2"/>
  <c r="AH22" i="2" s="1"/>
  <c r="AC22" i="2"/>
  <c r="AD22" i="2" s="1"/>
  <c r="AE22" i="2" s="1"/>
  <c r="Q22" i="2"/>
  <c r="R22" i="2" s="1"/>
  <c r="AG21" i="2"/>
  <c r="AH21" i="2" s="1"/>
  <c r="AC21" i="2"/>
  <c r="AD21" i="2" s="1"/>
  <c r="AE21" i="2" s="1"/>
  <c r="Q21" i="2"/>
  <c r="R21" i="2" s="1"/>
  <c r="AG20" i="2"/>
  <c r="AH20" i="2" s="1"/>
  <c r="AC20" i="2"/>
  <c r="AD20" i="2" s="1"/>
  <c r="AE20" i="2" s="1"/>
  <c r="Q20" i="2"/>
  <c r="R20" i="2" s="1"/>
  <c r="AG19" i="2"/>
  <c r="AH19" i="2" s="1"/>
  <c r="AC19" i="2"/>
  <c r="AD19" i="2" s="1"/>
  <c r="AE19" i="2" s="1"/>
  <c r="Q19" i="2"/>
  <c r="R19" i="2" s="1"/>
  <c r="AG18" i="2"/>
  <c r="AH18" i="2" s="1"/>
  <c r="Q18" i="2"/>
  <c r="R18" i="2" s="1"/>
  <c r="Q17" i="2"/>
  <c r="R17" i="2" s="1"/>
  <c r="AM28" i="2"/>
  <c r="AM27" i="2"/>
  <c r="AM26" i="2"/>
  <c r="AI52" i="16" l="1"/>
  <c r="AJ52" i="16" s="1"/>
  <c r="AI22" i="14"/>
  <c r="AJ22" i="14" s="1"/>
  <c r="AI21" i="14"/>
  <c r="AJ21" i="14" s="1"/>
  <c r="AI28" i="14"/>
  <c r="AJ28" i="14" s="1"/>
  <c r="AI27" i="14"/>
  <c r="AJ27" i="14" s="1"/>
  <c r="AI27" i="13"/>
  <c r="AJ27" i="13" s="1"/>
  <c r="AI52" i="13"/>
  <c r="AJ52" i="13" s="1"/>
  <c r="AI51" i="13"/>
  <c r="AJ51" i="13" s="1"/>
  <c r="AI39" i="13"/>
  <c r="AJ39" i="13" s="1"/>
  <c r="AI36" i="13"/>
  <c r="AJ36" i="13" s="1"/>
  <c r="AI15" i="13"/>
  <c r="AJ15" i="13" s="1"/>
  <c r="AI43" i="13"/>
  <c r="AJ43" i="13" s="1"/>
  <c r="AI49" i="13"/>
  <c r="AJ49" i="13" s="1"/>
  <c r="AI35" i="13"/>
  <c r="AJ35" i="13" s="1"/>
  <c r="AI20" i="13"/>
  <c r="AJ20" i="13" s="1"/>
  <c r="AI23" i="13"/>
  <c r="AJ23" i="13" s="1"/>
  <c r="AI22" i="13"/>
  <c r="AJ22" i="13" s="1"/>
  <c r="AI21" i="13"/>
  <c r="AJ21" i="13" s="1"/>
  <c r="AI18" i="13"/>
  <c r="AJ18" i="13" s="1"/>
  <c r="AI40" i="13"/>
  <c r="AJ40" i="13" s="1"/>
  <c r="AI34" i="13"/>
  <c r="AJ34" i="13" s="1"/>
  <c r="AI46" i="13"/>
  <c r="AJ46" i="13" s="1"/>
  <c r="AI33" i="13"/>
  <c r="AJ33" i="13" s="1"/>
  <c r="AI45" i="13"/>
  <c r="AJ45" i="13" s="1"/>
  <c r="AI37" i="13"/>
  <c r="AJ37" i="13" s="1"/>
  <c r="AI48" i="13"/>
  <c r="AJ48" i="13" s="1"/>
  <c r="AI38" i="13"/>
  <c r="AJ38" i="13" s="1"/>
  <c r="AI41" i="13"/>
  <c r="AJ41" i="13" s="1"/>
  <c r="AI44" i="13"/>
  <c r="AJ44" i="13" s="1"/>
  <c r="AI47" i="13"/>
  <c r="AJ47" i="13" s="1"/>
  <c r="AI42" i="13"/>
  <c r="AJ42" i="13" s="1"/>
  <c r="AI50" i="13"/>
  <c r="AJ50" i="13" s="1"/>
  <c r="AI31" i="13"/>
  <c r="AJ31" i="13" s="1"/>
  <c r="AI14" i="13"/>
  <c r="AJ14" i="13" s="1"/>
  <c r="AI26" i="13"/>
  <c r="AJ26" i="13" s="1"/>
  <c r="AI29" i="13"/>
  <c r="AJ29" i="13" s="1"/>
  <c r="AI13" i="13"/>
  <c r="AJ13" i="13" s="1"/>
  <c r="AI19" i="13"/>
  <c r="AJ19" i="13" s="1"/>
  <c r="AI24" i="13"/>
  <c r="AJ24" i="13" s="1"/>
  <c r="AI28" i="13"/>
  <c r="AJ28" i="13" s="1"/>
  <c r="AI30" i="13"/>
  <c r="AJ30" i="13" s="1"/>
  <c r="AI17" i="13"/>
  <c r="AJ17" i="13" s="1"/>
  <c r="AI25" i="13"/>
  <c r="AJ25" i="13" s="1"/>
  <c r="AI12" i="13"/>
  <c r="AJ12" i="13" s="1"/>
  <c r="AI51" i="14"/>
  <c r="AJ51" i="14" s="1"/>
  <c r="AI25" i="14"/>
  <c r="AJ25" i="14" s="1"/>
  <c r="AI31" i="14"/>
  <c r="AJ31" i="14" s="1"/>
  <c r="AI41" i="14"/>
  <c r="AJ41" i="14" s="1"/>
  <c r="AI47" i="14"/>
  <c r="AJ47" i="14" s="1"/>
  <c r="AI35" i="14"/>
  <c r="AJ35" i="14" s="1"/>
  <c r="AI12" i="14"/>
  <c r="AJ12" i="14" s="1"/>
  <c r="AI18" i="14"/>
  <c r="AJ18" i="14" s="1"/>
  <c r="AI19" i="14"/>
  <c r="AJ19" i="14" s="1"/>
  <c r="AI13" i="14"/>
  <c r="AJ13" i="14" s="1"/>
  <c r="AI14" i="14"/>
  <c r="AJ14" i="14" s="1"/>
  <c r="AI40" i="14"/>
  <c r="AJ40" i="14" s="1"/>
  <c r="AI42" i="14"/>
  <c r="AJ42" i="14" s="1"/>
  <c r="AI48" i="14"/>
  <c r="AJ48" i="14" s="1"/>
  <c r="AI38" i="14"/>
  <c r="AJ38" i="14" s="1"/>
  <c r="AI43" i="14"/>
  <c r="AJ43" i="14" s="1"/>
  <c r="AI52" i="14"/>
  <c r="AJ52" i="14" s="1"/>
  <c r="AI33" i="14"/>
  <c r="AJ33" i="14" s="1"/>
  <c r="AI39" i="14"/>
  <c r="AJ39" i="14" s="1"/>
  <c r="AI44" i="14"/>
  <c r="AJ44" i="14" s="1"/>
  <c r="AI45" i="14"/>
  <c r="AJ45" i="14" s="1"/>
  <c r="AI46" i="14"/>
  <c r="AJ46" i="14" s="1"/>
  <c r="AI50" i="14"/>
  <c r="AJ50" i="14" s="1"/>
  <c r="AI29" i="14"/>
  <c r="AJ29" i="14" s="1"/>
  <c r="AI15" i="14"/>
  <c r="AJ15" i="14" s="1"/>
  <c r="AI20" i="14"/>
  <c r="AJ20" i="14" s="1"/>
  <c r="AI23" i="14"/>
  <c r="AJ23" i="14" s="1"/>
  <c r="AI26" i="14"/>
  <c r="AJ26" i="14" s="1"/>
  <c r="AI17" i="14"/>
  <c r="AJ17" i="14" s="1"/>
  <c r="AI16" i="14"/>
  <c r="AJ16" i="14" s="1"/>
  <c r="AI24" i="14"/>
  <c r="AJ24" i="14" s="1"/>
  <c r="AI30" i="14"/>
  <c r="AJ30" i="14" s="1"/>
  <c r="AI31" i="15"/>
  <c r="AJ31" i="15" s="1"/>
  <c r="AI28" i="15"/>
  <c r="AJ28" i="15" s="1"/>
  <c r="AI25" i="15"/>
  <c r="AJ25" i="15" s="1"/>
  <c r="AI21" i="15"/>
  <c r="AJ21" i="15" s="1"/>
  <c r="AI43" i="15"/>
  <c r="AJ43" i="15" s="1"/>
  <c r="AI46" i="15"/>
  <c r="AJ46" i="15" s="1"/>
  <c r="AI34" i="15"/>
  <c r="AJ34" i="15" s="1"/>
  <c r="AI49" i="15"/>
  <c r="AJ49" i="15" s="1"/>
  <c r="AI35" i="15"/>
  <c r="AJ35" i="15" s="1"/>
  <c r="AI37" i="15"/>
  <c r="AJ37" i="15" s="1"/>
  <c r="AI40" i="15"/>
  <c r="AJ40" i="15" s="1"/>
  <c r="AI39" i="15"/>
  <c r="AJ39" i="15" s="1"/>
  <c r="AI42" i="15"/>
  <c r="AJ42" i="15" s="1"/>
  <c r="AI45" i="15"/>
  <c r="AJ45" i="15" s="1"/>
  <c r="AI48" i="15"/>
  <c r="AJ48" i="15" s="1"/>
  <c r="AI38" i="15"/>
  <c r="AJ38" i="15" s="1"/>
  <c r="AI41" i="15"/>
  <c r="AJ41" i="15" s="1"/>
  <c r="AI44" i="15"/>
  <c r="AJ44" i="15" s="1"/>
  <c r="AI47" i="15"/>
  <c r="AJ47" i="15" s="1"/>
  <c r="AI50" i="15"/>
  <c r="AJ50" i="15" s="1"/>
  <c r="AI51" i="15"/>
  <c r="AJ51" i="15" s="1"/>
  <c r="AI52" i="15"/>
  <c r="AJ52" i="15" s="1"/>
  <c r="AI13" i="15"/>
  <c r="AJ13" i="15" s="1"/>
  <c r="AI16" i="15"/>
  <c r="AJ16" i="15" s="1"/>
  <c r="AI17" i="15"/>
  <c r="AJ17" i="15" s="1"/>
  <c r="AI14" i="15"/>
  <c r="AJ14" i="15" s="1"/>
  <c r="AI30" i="15"/>
  <c r="AJ30" i="15" s="1"/>
  <c r="AI20" i="15"/>
  <c r="AJ20" i="15" s="1"/>
  <c r="AI23" i="15"/>
  <c r="AJ23" i="15" s="1"/>
  <c r="AI24" i="15"/>
  <c r="AJ24" i="15" s="1"/>
  <c r="AI12" i="15"/>
  <c r="AJ12" i="15" s="1"/>
  <c r="AI29" i="15"/>
  <c r="AJ29" i="15" s="1"/>
  <c r="AI15" i="15"/>
  <c r="AJ15" i="15" s="1"/>
  <c r="AI19" i="15"/>
  <c r="AJ19" i="15" s="1"/>
  <c r="AI18" i="15"/>
  <c r="AJ18" i="15" s="1"/>
  <c r="AI26" i="15"/>
  <c r="AJ26" i="15" s="1"/>
  <c r="AI22" i="15"/>
  <c r="AJ22" i="15" s="1"/>
  <c r="AI51" i="16"/>
  <c r="AJ51" i="16" s="1"/>
  <c r="AI47" i="16"/>
  <c r="AJ47" i="16" s="1"/>
  <c r="AI39" i="16"/>
  <c r="AJ39" i="16" s="1"/>
  <c r="AI36" i="16"/>
  <c r="AJ36" i="16" s="1"/>
  <c r="AI15" i="16"/>
  <c r="AI35" i="16"/>
  <c r="AJ35" i="16" s="1"/>
  <c r="AI40" i="16"/>
  <c r="AJ40" i="16" s="1"/>
  <c r="AI49" i="16"/>
  <c r="AJ49" i="16" s="1"/>
  <c r="AI45" i="16"/>
  <c r="AJ45" i="16" s="1"/>
  <c r="AI48" i="16"/>
  <c r="AJ48" i="16" s="1"/>
  <c r="AI26" i="16"/>
  <c r="AI17" i="16"/>
  <c r="AJ17" i="16" s="1"/>
  <c r="AI25" i="16"/>
  <c r="AI18" i="16"/>
  <c r="AI16" i="16"/>
  <c r="AI41" i="16"/>
  <c r="AJ41" i="16" s="1"/>
  <c r="AI44" i="16"/>
  <c r="AJ44" i="16" s="1"/>
  <c r="AI33" i="16"/>
  <c r="AJ33" i="16" s="1"/>
  <c r="AI46" i="16"/>
  <c r="AJ46" i="16" s="1"/>
  <c r="AI34" i="16"/>
  <c r="AJ34" i="16" s="1"/>
  <c r="AI37" i="16"/>
  <c r="AJ37" i="16" s="1"/>
  <c r="AI38" i="16"/>
  <c r="AJ38" i="16" s="1"/>
  <c r="AI42" i="16"/>
  <c r="AJ42" i="16" s="1"/>
  <c r="AI43" i="16"/>
  <c r="AJ43" i="16" s="1"/>
  <c r="AI50" i="16"/>
  <c r="AJ50" i="16" s="1"/>
  <c r="AI12" i="16"/>
  <c r="AI20" i="16"/>
  <c r="AI22" i="16"/>
  <c r="AI21" i="16"/>
  <c r="AI23" i="16"/>
  <c r="AI29" i="16"/>
  <c r="AI13" i="16"/>
  <c r="AI14" i="16"/>
  <c r="AI24" i="16"/>
  <c r="AI28" i="16"/>
  <c r="AI30" i="16"/>
  <c r="AJ30" i="16" s="1"/>
  <c r="AI31" i="16"/>
  <c r="AM14" i="16"/>
  <c r="AM15" i="16" s="1"/>
  <c r="AM17" i="16" s="1"/>
  <c r="AM14" i="15"/>
  <c r="AM16" i="15" s="1"/>
  <c r="AM14" i="14"/>
  <c r="AM15" i="14" s="1"/>
  <c r="AM17" i="14" s="1"/>
  <c r="AM14" i="13"/>
  <c r="AM15" i="13" s="1"/>
  <c r="AM17" i="13" s="1"/>
  <c r="AI27" i="2"/>
  <c r="AJ27" i="2" s="1"/>
  <c r="AI31" i="2"/>
  <c r="AJ31" i="2" s="1"/>
  <c r="AI28" i="2"/>
  <c r="AJ28" i="2" s="1"/>
  <c r="AI21" i="2"/>
  <c r="AJ21" i="2" s="1"/>
  <c r="AI18" i="2"/>
  <c r="AJ18" i="2" s="1"/>
  <c r="AI17" i="2"/>
  <c r="AJ17" i="2" s="1"/>
  <c r="AI24" i="2"/>
  <c r="AJ24" i="2" s="1"/>
  <c r="AI19" i="2"/>
  <c r="AJ19" i="2" s="1"/>
  <c r="AI30" i="2"/>
  <c r="AJ30" i="2" s="1"/>
  <c r="AI25" i="2"/>
  <c r="AJ25" i="2" s="1"/>
  <c r="AI22" i="2"/>
  <c r="AJ22" i="2" s="1"/>
  <c r="AI29" i="2"/>
  <c r="AJ29" i="2" s="1"/>
  <c r="AI20" i="2"/>
  <c r="AJ20" i="2" s="1"/>
  <c r="AI26" i="2"/>
  <c r="AJ26" i="2" s="1"/>
  <c r="AI23" i="2"/>
  <c r="AJ23" i="2" s="1"/>
  <c r="P34" i="2"/>
  <c r="Q34" i="2" s="1"/>
  <c r="P35" i="2"/>
  <c r="Q35" i="2" s="1"/>
  <c r="P36" i="2"/>
  <c r="Q36" i="2" s="1"/>
  <c r="P37" i="2"/>
  <c r="Q37" i="2" s="1"/>
  <c r="P38" i="2"/>
  <c r="Q38" i="2" s="1"/>
  <c r="P39" i="2"/>
  <c r="Q39" i="2" s="1"/>
  <c r="P40" i="2"/>
  <c r="Q40" i="2" s="1"/>
  <c r="P41" i="2"/>
  <c r="Q41" i="2" s="1"/>
  <c r="P42" i="2"/>
  <c r="Q42" i="2" s="1"/>
  <c r="P43" i="2"/>
  <c r="Q43" i="2" s="1"/>
  <c r="P44" i="2"/>
  <c r="Q44" i="2" s="1"/>
  <c r="P45" i="2"/>
  <c r="Q45" i="2" s="1"/>
  <c r="P46" i="2"/>
  <c r="Q46" i="2" s="1"/>
  <c r="P47" i="2"/>
  <c r="Q47" i="2" s="1"/>
  <c r="P48" i="2"/>
  <c r="Q48" i="2" s="1"/>
  <c r="P49" i="2"/>
  <c r="Q49" i="2" s="1"/>
  <c r="P50" i="2"/>
  <c r="Q50" i="2" s="1"/>
  <c r="P51" i="2"/>
  <c r="Q51" i="2" s="1"/>
  <c r="P52" i="2"/>
  <c r="Q52" i="2" s="1"/>
  <c r="Q13" i="2"/>
  <c r="Q14" i="2"/>
  <c r="Q15" i="2"/>
  <c r="Q16" i="2"/>
  <c r="AM11" i="2"/>
  <c r="AM20" i="2"/>
  <c r="AM23" i="2" s="1"/>
  <c r="AM21" i="2"/>
  <c r="AM22" i="2"/>
  <c r="AM16" i="16" l="1"/>
  <c r="AM15" i="15"/>
  <c r="AM17" i="15" s="1"/>
  <c r="AM16" i="14"/>
  <c r="AM16" i="13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12" i="2"/>
  <c r="AC13" i="2"/>
  <c r="AC14" i="2"/>
  <c r="AC15" i="2"/>
  <c r="U15" i="12" l="1"/>
  <c r="E4" i="12"/>
  <c r="E3" i="12"/>
  <c r="E2" i="12"/>
  <c r="BF58" i="2"/>
  <c r="AG52" i="2"/>
  <c r="AH52" i="2" s="1"/>
  <c r="BF57" i="2"/>
  <c r="AG51" i="2"/>
  <c r="AH51" i="2" s="1"/>
  <c r="AG50" i="2"/>
  <c r="AH50" i="2" s="1"/>
  <c r="AG49" i="2"/>
  <c r="AH49" i="2" s="1"/>
  <c r="BF54" i="2"/>
  <c r="AG48" i="2"/>
  <c r="AH48" i="2" s="1"/>
  <c r="BF53" i="2"/>
  <c r="AG47" i="2"/>
  <c r="AH47" i="2" s="1"/>
  <c r="BF52" i="2"/>
  <c r="AG46" i="2"/>
  <c r="AH46" i="2" s="1"/>
  <c r="BF51" i="2"/>
  <c r="AG45" i="2"/>
  <c r="AH45" i="2" s="1"/>
  <c r="BF50" i="2"/>
  <c r="AG44" i="2"/>
  <c r="AH44" i="2" s="1"/>
  <c r="BF49" i="2"/>
  <c r="AG43" i="2"/>
  <c r="AH43" i="2" s="1"/>
  <c r="BF48" i="2"/>
  <c r="AG42" i="2"/>
  <c r="AH42" i="2" s="1"/>
  <c r="BF47" i="2"/>
  <c r="AG41" i="2"/>
  <c r="AH41" i="2" s="1"/>
  <c r="BF46" i="2"/>
  <c r="AG40" i="2"/>
  <c r="AH40" i="2" s="1"/>
  <c r="BF45" i="2"/>
  <c r="AG39" i="2"/>
  <c r="AH39" i="2" s="1"/>
  <c r="BF44" i="2"/>
  <c r="AG38" i="2"/>
  <c r="AH38" i="2" s="1"/>
  <c r="BF43" i="2"/>
  <c r="AG37" i="2"/>
  <c r="AH37" i="2" s="1"/>
  <c r="BF42" i="2"/>
  <c r="AG36" i="2"/>
  <c r="AH36" i="2" s="1"/>
  <c r="BF41" i="2"/>
  <c r="AG35" i="2"/>
  <c r="AH35" i="2" s="1"/>
  <c r="BF40" i="2"/>
  <c r="AG34" i="2"/>
  <c r="AH34" i="2" s="1"/>
  <c r="BF39" i="2"/>
  <c r="AG33" i="2"/>
  <c r="AH33" i="2" s="1"/>
  <c r="P33" i="2"/>
  <c r="BF38" i="2"/>
  <c r="BF37" i="2"/>
  <c r="BF36" i="2"/>
  <c r="BF35" i="2"/>
  <c r="BF34" i="2"/>
  <c r="BF31" i="2"/>
  <c r="BF30" i="2"/>
  <c r="BF29" i="2"/>
  <c r="BF28" i="2"/>
  <c r="BF27" i="2"/>
  <c r="BF26" i="2"/>
  <c r="BF25" i="2"/>
  <c r="BF24" i="2"/>
  <c r="BF23" i="2"/>
  <c r="BF22" i="2"/>
  <c r="BF21" i="2"/>
  <c r="BF20" i="2"/>
  <c r="BF19" i="2"/>
  <c r="BF18" i="2"/>
  <c r="BF17" i="2"/>
  <c r="BF16" i="2"/>
  <c r="BF15" i="2"/>
  <c r="AG15" i="2"/>
  <c r="AH15" i="2" s="1"/>
  <c r="BF14" i="2"/>
  <c r="AG14" i="2"/>
  <c r="AH14" i="2" s="1"/>
  <c r="BF13" i="2"/>
  <c r="AG13" i="2"/>
  <c r="AH13" i="2" s="1"/>
  <c r="BF12" i="2"/>
  <c r="AG12" i="2"/>
  <c r="AH12" i="2" s="1"/>
  <c r="AC10" i="2"/>
  <c r="P10" i="2"/>
  <c r="AM14" i="2" l="1"/>
  <c r="AM15" i="2" s="1"/>
  <c r="AM17" i="2" s="1"/>
  <c r="AD15" i="2"/>
  <c r="AE15" i="2" s="1"/>
  <c r="AD34" i="2"/>
  <c r="AE34" i="2" s="1"/>
  <c r="AD38" i="2"/>
  <c r="AE38" i="2" s="1"/>
  <c r="AD42" i="2"/>
  <c r="AE42" i="2" s="1"/>
  <c r="AD46" i="2"/>
  <c r="AE46" i="2" s="1"/>
  <c r="R52" i="2"/>
  <c r="Q33" i="2"/>
  <c r="R33" i="2" s="1"/>
  <c r="R35" i="2"/>
  <c r="R37" i="2"/>
  <c r="R39" i="2"/>
  <c r="R41" i="2"/>
  <c r="R43" i="2"/>
  <c r="R45" i="2"/>
  <c r="R13" i="2"/>
  <c r="R15" i="2"/>
  <c r="R34" i="2"/>
  <c r="R36" i="2"/>
  <c r="R38" i="2"/>
  <c r="R40" i="2"/>
  <c r="R42" i="2"/>
  <c r="R44" i="2"/>
  <c r="R46" i="2"/>
  <c r="AD13" i="2"/>
  <c r="AE13" i="2" s="1"/>
  <c r="AD36" i="2"/>
  <c r="AE36" i="2" s="1"/>
  <c r="AD40" i="2"/>
  <c r="AE40" i="2" s="1"/>
  <c r="AD44" i="2"/>
  <c r="AE44" i="2" s="1"/>
  <c r="R48" i="2"/>
  <c r="R50" i="2"/>
  <c r="AD48" i="2"/>
  <c r="AE48" i="2" s="1"/>
  <c r="AD50" i="2"/>
  <c r="AE50" i="2" s="1"/>
  <c r="AD52" i="2"/>
  <c r="AE52" i="2" s="1"/>
  <c r="R14" i="2"/>
  <c r="R16" i="2"/>
  <c r="AI16" i="2" s="1"/>
  <c r="AD14" i="2"/>
  <c r="AE14" i="2" s="1"/>
  <c r="AD33" i="2"/>
  <c r="AE33" i="2" s="1"/>
  <c r="AD35" i="2"/>
  <c r="AE35" i="2" s="1"/>
  <c r="AD37" i="2"/>
  <c r="AE37" i="2" s="1"/>
  <c r="AD39" i="2"/>
  <c r="AE39" i="2" s="1"/>
  <c r="AD41" i="2"/>
  <c r="AE41" i="2" s="1"/>
  <c r="AD43" i="2"/>
  <c r="AE43" i="2" s="1"/>
  <c r="AD45" i="2"/>
  <c r="AE45" i="2" s="1"/>
  <c r="R47" i="2"/>
  <c r="R49" i="2"/>
  <c r="R51" i="2"/>
  <c r="AD47" i="2"/>
  <c r="AE47" i="2" s="1"/>
  <c r="AD49" i="2"/>
  <c r="AE49" i="2" s="1"/>
  <c r="AD51" i="2"/>
  <c r="AE51" i="2" s="1"/>
  <c r="Q12" i="2"/>
  <c r="R12" i="2" s="1"/>
  <c r="AD12" i="2"/>
  <c r="AE12" i="2" s="1"/>
  <c r="AI15" i="2" l="1"/>
  <c r="AJ15" i="2" s="1"/>
  <c r="AM16" i="2"/>
  <c r="AI50" i="2"/>
  <c r="AJ50" i="2" s="1"/>
  <c r="AI45" i="2"/>
  <c r="AJ45" i="2" s="1"/>
  <c r="AI43" i="2"/>
  <c r="AJ43" i="2" s="1"/>
  <c r="AI40" i="2"/>
  <c r="AJ40" i="2" s="1"/>
  <c r="AI38" i="2"/>
  <c r="AJ38" i="2" s="1"/>
  <c r="AI35" i="2"/>
  <c r="AJ35" i="2" s="1"/>
  <c r="AI14" i="2"/>
  <c r="AJ14" i="2" s="1"/>
  <c r="AI47" i="2"/>
  <c r="AJ47" i="2" s="1"/>
  <c r="AI52" i="2"/>
  <c r="AJ52" i="2" s="1"/>
  <c r="AI48" i="2"/>
  <c r="AJ48" i="2" s="1"/>
  <c r="AI49" i="2"/>
  <c r="AJ49" i="2" s="1"/>
  <c r="AI42" i="2"/>
  <c r="AJ42" i="2" s="1"/>
  <c r="AI34" i="2"/>
  <c r="AJ34" i="2" s="1"/>
  <c r="AI36" i="2"/>
  <c r="AJ36" i="2" s="1"/>
  <c r="AI37" i="2"/>
  <c r="AJ37" i="2" s="1"/>
  <c r="AI51" i="2"/>
  <c r="AJ51" i="2" s="1"/>
  <c r="AI33" i="2"/>
  <c r="AJ33" i="2" s="1"/>
  <c r="AI44" i="2"/>
  <c r="AJ44" i="2" s="1"/>
  <c r="AI41" i="2"/>
  <c r="AJ41" i="2" s="1"/>
  <c r="AI13" i="2"/>
  <c r="AJ13" i="2" s="1"/>
  <c r="AI39" i="2"/>
  <c r="AJ39" i="2" s="1"/>
  <c r="AI46" i="2"/>
  <c r="AJ46" i="2" s="1"/>
  <c r="AI12" i="2"/>
  <c r="AJ12" i="2" s="1"/>
  <c r="AJ16" i="2" l="1"/>
  <c r="K16" i="10"/>
  <c r="K42" i="10"/>
  <c r="K28" i="10"/>
  <c r="K25" i="10"/>
  <c r="K30" i="10"/>
  <c r="K37" i="10"/>
  <c r="K39" i="10"/>
  <c r="K14" i="10"/>
  <c r="K32" i="10"/>
  <c r="K41" i="10"/>
  <c r="K38" i="10" l="1"/>
  <c r="K20" i="10"/>
  <c r="K19" i="10"/>
  <c r="K43" i="10"/>
  <c r="K48" i="10"/>
  <c r="K50" i="10"/>
  <c r="K47" i="10"/>
  <c r="K35" i="10"/>
  <c r="K31" i="10"/>
  <c r="K21" i="10"/>
  <c r="K18" i="10"/>
  <c r="K11" i="10"/>
  <c r="K15" i="10"/>
  <c r="K46" i="10"/>
  <c r="K49" i="10"/>
  <c r="K27" i="10"/>
  <c r="K36" i="10"/>
  <c r="K24" i="10"/>
  <c r="K22" i="10"/>
  <c r="K26" i="10"/>
  <c r="K34" i="10"/>
  <c r="K45" i="10"/>
  <c r="K44" i="10"/>
  <c r="K17" i="10"/>
  <c r="K23" i="10"/>
  <c r="K52" i="10"/>
  <c r="K40" i="10"/>
  <c r="K29" i="10"/>
  <c r="K53" i="10"/>
  <c r="K13" i="10"/>
  <c r="K51" i="10"/>
  <c r="K1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M10" authorId="0" shapeId="0" xr:uid="{C8397763-3C07-4C42-BF6E-2B70F9A4C565}">
      <text>
        <r>
          <rPr>
            <sz val="11"/>
            <color theme="1"/>
            <rFont val="Calibri"/>
            <scheme val="minor"/>
          </rPr>
          <t>======
ID#AAABTbjpdjM
EducatorsFiles    (2024-08-12 13:14:18)
Number of Examinees is automatically counted upon entering scores.</t>
        </r>
      </text>
    </comment>
    <comment ref="AM11" authorId="0" shapeId="0" xr:uid="{223E2AD0-1B0E-4E8D-A39C-42B9A6C82EF2}">
      <text>
        <r>
          <rPr>
            <sz val="11"/>
            <color theme="1"/>
            <rFont val="Calibri"/>
            <scheme val="minor"/>
          </rPr>
          <t>======
ID#AAABTbjpdjQ
EducatorsFiles    (2024-08-12 13:14:18)
Highest Possible Score is linked on AF10.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M10" authorId="0" shapeId="0" xr:uid="{219D15FD-471E-45E8-83F0-0298CEC07D11}">
      <text>
        <r>
          <rPr>
            <sz val="11"/>
            <color theme="1"/>
            <rFont val="Calibri"/>
            <scheme val="minor"/>
          </rPr>
          <t>======
ID#AAABTbjpdjM
EducatorsFiles    (2024-08-12 13:14:18)
Number of Examinees is automatically counted upon entering scores.</t>
        </r>
      </text>
    </comment>
    <comment ref="AM11" authorId="0" shapeId="0" xr:uid="{2A639F15-B2F6-4F5E-9FAD-C23B3BE74A74}">
      <text>
        <r>
          <rPr>
            <sz val="11"/>
            <color theme="1"/>
            <rFont val="Calibri"/>
            <scheme val="minor"/>
          </rPr>
          <t>======
ID#AAABTbjpdjQ
EducatorsFiles    (2024-08-12 13:14:18)
Highest Possible Score is linked on AF10.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M10" authorId="0" shapeId="0" xr:uid="{0358C5CD-CB60-4116-8393-1E5E8814FBFC}">
      <text>
        <r>
          <rPr>
            <sz val="11"/>
            <color theme="1"/>
            <rFont val="Calibri"/>
            <scheme val="minor"/>
          </rPr>
          <t>======
ID#AAABTbjpdjM
EducatorsFiles    (2024-08-12 13:14:18)
Number of Examinees is automatically counted upon entering scores.</t>
        </r>
      </text>
    </comment>
    <comment ref="AM11" authorId="0" shapeId="0" xr:uid="{3FC7A94D-3BB7-4491-AA24-052E5625C4EA}">
      <text>
        <r>
          <rPr>
            <sz val="11"/>
            <color theme="1"/>
            <rFont val="Calibri"/>
            <scheme val="minor"/>
          </rPr>
          <t>======
ID#AAABTbjpdjQ
EducatorsFiles    (2024-08-12 13:14:18)
Highest Possible Score is linked on AF10.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M10" authorId="0" shapeId="0" xr:uid="{638E92F5-7F5E-48FC-9C0F-EE2B7F78D171}">
      <text>
        <r>
          <rPr>
            <sz val="11"/>
            <color theme="1"/>
            <rFont val="Calibri"/>
            <scheme val="minor"/>
          </rPr>
          <t>======
ID#AAABTbjpdjM
EducatorsFiles    (2024-08-12 13:14:18)
Number of Examinees is automatically counted upon entering scores.</t>
        </r>
      </text>
    </comment>
    <comment ref="AM11" authorId="0" shapeId="0" xr:uid="{265B663E-FC11-4AA3-908A-B69B0C1BE01D}">
      <text>
        <r>
          <rPr>
            <sz val="11"/>
            <color theme="1"/>
            <rFont val="Calibri"/>
            <scheme val="minor"/>
          </rPr>
          <t>======
ID#AAABTbjpdjQ
EducatorsFiles    (2024-08-12 13:14:18)
Highest Possible Score is linked on AF10.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M10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ID#AAABTbjpdjM
EducatorsFiles    (2024-08-12 13:14:18)
Number of Examinees is automatically counted upon entering scores.</t>
        </r>
      </text>
    </comment>
    <comment ref="AM11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ID#AAABTbjpdjQ
EducatorsFiles    (2024-08-12 13:14:18)
Highest Possible Score is linked on AF10.</t>
        </r>
      </text>
    </comment>
  </commentList>
</comments>
</file>

<file path=xl/sharedStrings.xml><?xml version="1.0" encoding="utf-8"?>
<sst xmlns="http://schemas.openxmlformats.org/spreadsheetml/2006/main" count="626" uniqueCount="142">
  <si>
    <t>REGION</t>
  </si>
  <si>
    <t>DIVISION</t>
  </si>
  <si>
    <t>DISTRICT</t>
  </si>
  <si>
    <t>SCHOOL NAME</t>
  </si>
  <si>
    <t>SCHOOL ID</t>
  </si>
  <si>
    <t>SCHOOL YEAR</t>
  </si>
  <si>
    <t>FIRST QUARTER</t>
  </si>
  <si>
    <t xml:space="preserve">GRADE &amp; SECTION: </t>
  </si>
  <si>
    <t>TEACHER:</t>
  </si>
  <si>
    <t>LEARNERS' NAMES</t>
  </si>
  <si>
    <t xml:space="preserve">MALE </t>
  </si>
  <si>
    <t xml:space="preserve">FEMALE </t>
  </si>
  <si>
    <t xml:space="preserve">Class Record </t>
  </si>
  <si>
    <t>(Pursuant to Deped Order 8 series of 2015)</t>
  </si>
  <si>
    <t>SUBJECT:</t>
  </si>
  <si>
    <t>LANGUAGE</t>
  </si>
  <si>
    <t>WRITTEN WORKS (30%)</t>
  </si>
  <si>
    <t>PERFORMANCE TASKS (50%)</t>
  </si>
  <si>
    <t>QUARTERLY ASSESSMENT (20%)</t>
  </si>
  <si>
    <t xml:space="preserve">Initial </t>
  </si>
  <si>
    <t xml:space="preserve">   Quarterly                 
</t>
  </si>
  <si>
    <t>Total</t>
  </si>
  <si>
    <t>PS</t>
  </si>
  <si>
    <t>WS</t>
  </si>
  <si>
    <t>Grade</t>
  </si>
  <si>
    <t>HIGHEST POSSIBLE SCORE</t>
  </si>
  <si>
    <t>Number of Examinees:</t>
  </si>
  <si>
    <t>Highest Possible Score:</t>
  </si>
  <si>
    <t>CRITERION-REFERENCED</t>
  </si>
  <si>
    <t xml:space="preserve"> Got 75% &amp; above</t>
  </si>
  <si>
    <t>Percentage</t>
  </si>
  <si>
    <t>Got below 75%</t>
  </si>
  <si>
    <t>NORM-REFERENCED</t>
  </si>
  <si>
    <t>Score</t>
  </si>
  <si>
    <t>Mean</t>
  </si>
  <si>
    <t>Median</t>
  </si>
  <si>
    <t>SD</t>
  </si>
  <si>
    <t>MPS</t>
  </si>
  <si>
    <t>OTHER INFO</t>
  </si>
  <si>
    <t>Highest Score</t>
  </si>
  <si>
    <t>Lowest Score</t>
  </si>
  <si>
    <t>Total Score</t>
  </si>
  <si>
    <t>READING AND LITERACY</t>
  </si>
  <si>
    <t>MATHEMATICS</t>
  </si>
  <si>
    <t>MAKABANSA</t>
  </si>
  <si>
    <t>GMRC</t>
  </si>
  <si>
    <t>MATH</t>
  </si>
  <si>
    <t xml:space="preserve"> AVERAGE</t>
  </si>
  <si>
    <t>MALE</t>
  </si>
  <si>
    <t>SUBJECT</t>
  </si>
  <si>
    <t>WRITTEN WORK</t>
  </si>
  <si>
    <t>PERFORMANCE TASKS</t>
  </si>
  <si>
    <t>Q.
ASSESS-MENT</t>
  </si>
  <si>
    <t>TRANSMUTATION TABLE</t>
  </si>
  <si>
    <t>FILIPINO</t>
  </si>
  <si>
    <t>-</t>
  </si>
  <si>
    <t>ENGLISH</t>
  </si>
  <si>
    <t>SCIENCE</t>
  </si>
  <si>
    <t>WW</t>
  </si>
  <si>
    <t>PT</t>
  </si>
  <si>
    <t>QA</t>
  </si>
  <si>
    <t>ARALING PANLIPUNAN</t>
  </si>
  <si>
    <t>EDUKASYON SA PAGPAPAKATAO</t>
  </si>
  <si>
    <t>EDUKASYONG PANTAHANAN AT PANGKABUHAYAN</t>
  </si>
  <si>
    <t>MOTHER TONGUE</t>
  </si>
  <si>
    <t>FIRST</t>
  </si>
  <si>
    <t>SECOND</t>
  </si>
  <si>
    <t>THIRD</t>
  </si>
  <si>
    <t>FOURTH</t>
  </si>
  <si>
    <t>FILIPINO,ENGLISH,MATHEMATICS,SCIENCE,ARALING PANLIPUNAN,EDUKASYON SA PAGPAPAKATAO,EDUKASYONG PANTAHANAN AT PANGKABUHAYAN,MOTHER TONGUE</t>
  </si>
  <si>
    <t>AMPARO ELEMENTARY SCHOOL</t>
  </si>
  <si>
    <t>ALDAS, DRAKE AUDRINE M.</t>
  </si>
  <si>
    <t>BEO, CHRISTIAN PAULE P.</t>
  </si>
  <si>
    <t>BUCAYU, ARKIE M.</t>
  </si>
  <si>
    <t>CANTELA, PRINCE RAFAEL P.</t>
  </si>
  <si>
    <t>CANTELA, PRINCE RAFFY P.</t>
  </si>
  <si>
    <t>CASIBER, RUIEL B.</t>
  </si>
  <si>
    <t>CASTAÑAS, KYLE ZHYRENCE D.</t>
  </si>
  <si>
    <t>CASTILLO, LIAM JHEN F.</t>
  </si>
  <si>
    <t>DESOACIDO, JHON NEIGHEL</t>
  </si>
  <si>
    <t>JARO, JHAN CHRISTOFF B.</t>
  </si>
  <si>
    <t>LACISTE, MIGUEL TAN F.</t>
  </si>
  <si>
    <t>LAPID, JAMES JEREMIAH N.</t>
  </si>
  <si>
    <t>MABUNGA, KIRBEE, O.</t>
  </si>
  <si>
    <t>MALIG, KENT BRYLLE</t>
  </si>
  <si>
    <t>MARINAY, JAYCEE S.</t>
  </si>
  <si>
    <t>MISAL, ERNESTO H.</t>
  </si>
  <si>
    <t>NAVAL, ENRICO D.</t>
  </si>
  <si>
    <t>OBIEN, ZOREN JR. A.</t>
  </si>
  <si>
    <t>POGOY, YOOHAN EARL L.</t>
  </si>
  <si>
    <t>RABACAL, JUSTIN D.</t>
  </si>
  <si>
    <t>RAMIREZ, JACE SHARLEE R.</t>
  </si>
  <si>
    <t>REPOLLO, PRINCE EURIE A.</t>
  </si>
  <si>
    <t>NCR</t>
  </si>
  <si>
    <t>NORTH 1</t>
  </si>
  <si>
    <t>CALOOCAN CITY</t>
  </si>
  <si>
    <t>NORTH I</t>
  </si>
  <si>
    <t>Summary of Quarterly Grades (Fourth Quarter)</t>
  </si>
  <si>
    <t>2025-2026</t>
  </si>
  <si>
    <t>READING</t>
  </si>
  <si>
    <t>NATIONAL CAPITAL REGION</t>
  </si>
  <si>
    <t>FEMALE</t>
  </si>
  <si>
    <t>AGOT,KHIAN CLOUD, DABLO</t>
  </si>
  <si>
    <t>ANDEO,JHON PAUL, ANITADO</t>
  </si>
  <si>
    <t>ANTONIO,ZAMUEL ELLISE, NAVARRO</t>
  </si>
  <si>
    <t>ARCONADA,KIEN LEXTER, SAMANE</t>
  </si>
  <si>
    <t>BACOTOY,RENZ EURY, -</t>
  </si>
  <si>
    <t>BALTAZAR,KYUN SEI, CORNEJO</t>
  </si>
  <si>
    <t>CARILLO,RAFFY, JR., FLORES</t>
  </si>
  <si>
    <t>COLEGADO,NATHANIEL, -</t>
  </si>
  <si>
    <t>CREO,VINCE ANGELO, COLLADO</t>
  </si>
  <si>
    <t>ESGUERRA,KING NIGEL, HOBAYAN</t>
  </si>
  <si>
    <t>FLORES,MATTHIAS LEON, EUSEBIO</t>
  </si>
  <si>
    <t>KIERULF,JUZZ, FULGENCIO</t>
  </si>
  <si>
    <t>LAAD,ZILDJIAN, PEÑARANDA</t>
  </si>
  <si>
    <t>MARABUT,KING JAMES, OBILLO</t>
  </si>
  <si>
    <t>OGRIMAN,RICARDO, BANDIEZ</t>
  </si>
  <si>
    <t>ORONOS,KYLE ALVIN, GURAY</t>
  </si>
  <si>
    <t>PACLIBAR,RHAICO KEIL, DACLITAN</t>
  </si>
  <si>
    <t>PANUNCIO,ROME, GABRAL</t>
  </si>
  <si>
    <t>PILLA,JACOB ALLI, PACCARANGAN</t>
  </si>
  <si>
    <t>SAYSON,CALVIN TYLER, BARCENAS</t>
  </si>
  <si>
    <t>AGRAMOS,ALLYZA KHATE, HISONA</t>
  </si>
  <si>
    <t>ALDANA,ANGEL LORAINE, MARINAY</t>
  </si>
  <si>
    <t>BAUTISTA,LHIAN, LORETE</t>
  </si>
  <si>
    <t>BURGOS,PRINCESS BHEA, SINANGOTE</t>
  </si>
  <si>
    <t>COMBOCAR,REIGNZEL SAMARA, MAGDADARO</t>
  </si>
  <si>
    <t>DIOSES,SOFIA NICOLE, PAJATIN</t>
  </si>
  <si>
    <t>DONAN,AREM RITTZ GUINEVERE, ARIATE</t>
  </si>
  <si>
    <t>GEROY,JANICA, SARMIENTO</t>
  </si>
  <si>
    <t>GONZAGA,ZHEFIA ANNE, MERCADEJAS</t>
  </si>
  <si>
    <t>LORILLA,RHEANA SHAINE, BENITO</t>
  </si>
  <si>
    <t>MANSION,JHONEARA, TANDAYAG</t>
  </si>
  <si>
    <t>MARGATE,PRINCESS ELLA, ESTOMATA</t>
  </si>
  <si>
    <t>MILLARES,MINDY REIN, -</t>
  </si>
  <si>
    <t>MONTAÑANO,ZABBRINA MARGAUX, SOÑAS</t>
  </si>
  <si>
    <t>OPHER,CHRISANTA  JOY, EDILLOR</t>
  </si>
  <si>
    <t>RAMOS,AIRA MAE JANE, NAMA</t>
  </si>
  <si>
    <t>SIGLON,ASHZNA ZAMANTHA, LEYBLE</t>
  </si>
  <si>
    <t>SINAMPAGA,CARLYN MAE, BUBAN</t>
  </si>
  <si>
    <t>TUMACAS,LEAH HEART, VINLUAN</t>
  </si>
  <si>
    <t>TURALDE,SHERLYN JHANE, SALAS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</si>
</sst>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;"/>
    <numFmt numFmtId="165" formatCode="0.0"/>
    <numFmt numFmtId="166" formatCode="0.00;;"/>
  </numFmts>
  <fonts count="30">
    <font>
      <sz val="11"/>
      <color theme="1"/>
      <name val="Calibri"/>
      <scheme val="minor"/>
    </font>
    <font>
      <b/>
      <sz val="21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i/>
      <sz val="7"/>
      <color theme="1"/>
      <name val="Arial Narrow"/>
    </font>
    <font>
      <sz val="14"/>
      <color theme="1"/>
      <name val="Arial"/>
    </font>
    <font>
      <b/>
      <sz val="14"/>
      <color theme="1"/>
      <name val="Arial"/>
    </font>
    <font>
      <sz val="12"/>
      <color theme="1"/>
      <name val="Arial"/>
    </font>
    <font>
      <sz val="11"/>
      <name val="Calibri"/>
    </font>
    <font>
      <b/>
      <sz val="12"/>
      <color theme="1"/>
      <name val="Arial"/>
    </font>
    <font>
      <sz val="11"/>
      <color theme="1"/>
      <name val="SansSerif"/>
    </font>
    <font>
      <sz val="10"/>
      <color theme="1"/>
      <name val="Arial"/>
    </font>
    <font>
      <b/>
      <sz val="10"/>
      <color theme="1"/>
      <name val="Arial"/>
    </font>
    <font>
      <sz val="8"/>
      <color theme="1"/>
      <name val="Calibri"/>
    </font>
    <font>
      <sz val="8"/>
      <color theme="1"/>
      <name val="Arial"/>
    </font>
    <font>
      <sz val="11"/>
      <color theme="1"/>
      <name val="Calibri"/>
    </font>
    <font>
      <sz val="8"/>
      <color rgb="FF000000"/>
      <name val="Arial"/>
    </font>
    <font>
      <sz val="8"/>
      <color rgb="FF000000"/>
      <name val="Calibri"/>
    </font>
    <font>
      <b/>
      <sz val="9"/>
      <color theme="1"/>
      <name val="Arial"/>
    </font>
    <font>
      <b/>
      <sz val="11"/>
      <color rgb="FF0C0C0C"/>
      <name val="Arial"/>
    </font>
    <font>
      <b/>
      <sz val="11"/>
      <color theme="1"/>
      <name val="Arial Narrow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sz val="11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indexed="64"/>
      </patternFill>
    </fill>
  </fills>
  <borders count="1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0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2" fontId="3" fillId="0" borderId="0" xfId="0" applyNumberFormat="1" applyFont="1" applyAlignment="1">
      <alignment horizontal="center"/>
    </xf>
    <xf numFmtId="0" fontId="7" fillId="0" borderId="7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 vertical="center" textRotation="90" shrinkToFit="1"/>
    </xf>
    <xf numFmtId="0" fontId="3" fillId="0" borderId="12" xfId="0" applyFont="1" applyBorder="1" applyAlignment="1">
      <alignment horizontal="center" shrinkToFit="1"/>
    </xf>
    <xf numFmtId="0" fontId="3" fillId="0" borderId="0" xfId="0" applyFont="1" applyAlignment="1">
      <alignment shrinkToFit="1"/>
    </xf>
    <xf numFmtId="0" fontId="3" fillId="2" borderId="17" xfId="0" applyFont="1" applyFill="1" applyBorder="1" applyAlignment="1">
      <alignment horizontal="center" shrinkToFit="1"/>
    </xf>
    <xf numFmtId="164" fontId="10" fillId="0" borderId="3" xfId="0" applyNumberFormat="1" applyFont="1" applyBorder="1" applyAlignment="1">
      <alignment horizontal="left" vertical="center" wrapText="1"/>
    </xf>
    <xf numFmtId="164" fontId="10" fillId="0" borderId="19" xfId="0" applyNumberFormat="1" applyFont="1" applyBorder="1" applyAlignment="1">
      <alignment horizontal="left" vertical="center" wrapText="1"/>
    </xf>
    <xf numFmtId="1" fontId="2" fillId="0" borderId="0" xfId="0" applyNumberFormat="1" applyFont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/>
    <xf numFmtId="2" fontId="3" fillId="0" borderId="24" xfId="0" applyNumberFormat="1" applyFont="1" applyBorder="1" applyAlignment="1">
      <alignment horizontal="center" vertical="center" wrapText="1"/>
    </xf>
    <xf numFmtId="2" fontId="3" fillId="0" borderId="25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9" fontId="3" fillId="0" borderId="29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33" xfId="0" applyFont="1" applyBorder="1" applyAlignment="1">
      <alignment horizontal="center" shrinkToFit="1"/>
    </xf>
    <xf numFmtId="0" fontId="3" fillId="0" borderId="34" xfId="0" applyFont="1" applyBorder="1" applyAlignment="1">
      <alignment horizontal="center" shrinkToFit="1"/>
    </xf>
    <xf numFmtId="0" fontId="3" fillId="0" borderId="12" xfId="0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9" fontId="3" fillId="0" borderId="35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 shrinkToFit="1"/>
    </xf>
    <xf numFmtId="0" fontId="11" fillId="0" borderId="3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/>
    </xf>
    <xf numFmtId="0" fontId="3" fillId="2" borderId="33" xfId="0" applyFont="1" applyFill="1" applyBorder="1" applyAlignment="1">
      <alignment horizontal="center" shrinkToFit="1"/>
    </xf>
    <xf numFmtId="0" fontId="3" fillId="2" borderId="34" xfId="0" applyFont="1" applyFill="1" applyBorder="1" applyAlignment="1">
      <alignment horizontal="center" shrinkToFit="1"/>
    </xf>
    <xf numFmtId="0" fontId="3" fillId="2" borderId="40" xfId="0" applyFont="1" applyFill="1" applyBorder="1" applyAlignment="1">
      <alignment horizontal="center" shrinkToFit="1"/>
    </xf>
    <xf numFmtId="0" fontId="3" fillId="2" borderId="12" xfId="0" applyFont="1" applyFill="1" applyBorder="1" applyAlignment="1">
      <alignment horizontal="center"/>
    </xf>
    <xf numFmtId="2" fontId="3" fillId="2" borderId="12" xfId="0" applyNumberFormat="1" applyFont="1" applyFill="1" applyBorder="1" applyAlignment="1">
      <alignment horizontal="center"/>
    </xf>
    <xf numFmtId="2" fontId="3" fillId="2" borderId="35" xfId="0" applyNumberFormat="1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 shrinkToFit="1"/>
    </xf>
    <xf numFmtId="0" fontId="3" fillId="2" borderId="42" xfId="0" applyFont="1" applyFill="1" applyBorder="1" applyAlignment="1">
      <alignment horizontal="center" shrinkToFit="1"/>
    </xf>
    <xf numFmtId="2" fontId="3" fillId="2" borderId="43" xfId="0" applyNumberFormat="1" applyFont="1" applyFill="1" applyBorder="1" applyAlignment="1">
      <alignment horizontal="center"/>
    </xf>
    <xf numFmtId="1" fontId="3" fillId="2" borderId="44" xfId="0" applyNumberFormat="1" applyFont="1" applyFill="1" applyBorder="1" applyAlignment="1">
      <alignment horizontal="center"/>
    </xf>
    <xf numFmtId="1" fontId="11" fillId="0" borderId="45" xfId="0" applyNumberFormat="1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1" fontId="2" fillId="0" borderId="49" xfId="0" applyNumberFormat="1" applyFont="1" applyBorder="1" applyAlignment="1">
      <alignment horizontal="center"/>
    </xf>
    <xf numFmtId="2" fontId="3" fillId="0" borderId="49" xfId="0" applyNumberFormat="1" applyFont="1" applyBorder="1" applyAlignment="1">
      <alignment horizontal="center"/>
    </xf>
    <xf numFmtId="2" fontId="3" fillId="0" borderId="50" xfId="0" applyNumberFormat="1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2" fontId="3" fillId="0" borderId="52" xfId="0" applyNumberFormat="1" applyFont="1" applyBorder="1" applyAlignment="1">
      <alignment horizontal="center"/>
    </xf>
    <xf numFmtId="1" fontId="3" fillId="0" borderId="19" xfId="0" applyNumberFormat="1" applyFont="1" applyBorder="1" applyAlignment="1">
      <alignment horizontal="center"/>
    </xf>
    <xf numFmtId="164" fontId="10" fillId="0" borderId="5" xfId="0" applyNumberFormat="1" applyFont="1" applyBorder="1" applyAlignment="1">
      <alignment horizontal="left" vertical="center" wrapText="1"/>
    </xf>
    <xf numFmtId="164" fontId="10" fillId="0" borderId="53" xfId="0" applyNumberFormat="1" applyFont="1" applyBorder="1" applyAlignment="1">
      <alignment horizontal="left" vertical="center" wrapText="1"/>
    </xf>
    <xf numFmtId="0" fontId="11" fillId="0" borderId="47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10" fontId="11" fillId="0" borderId="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10" fontId="11" fillId="0" borderId="58" xfId="0" applyNumberFormat="1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2" fontId="11" fillId="0" borderId="57" xfId="0" applyNumberFormat="1" applyFont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0" fontId="2" fillId="2" borderId="33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164" fontId="15" fillId="0" borderId="0" xfId="0" applyNumberFormat="1" applyFont="1" applyAlignment="1">
      <alignment shrinkToFit="1"/>
    </xf>
    <xf numFmtId="164" fontId="9" fillId="0" borderId="0" xfId="0" applyNumberFormat="1" applyFont="1" applyAlignment="1">
      <alignment horizontal="right" vertical="center"/>
    </xf>
    <xf numFmtId="0" fontId="16" fillId="0" borderId="0" xfId="0" applyFont="1"/>
    <xf numFmtId="0" fontId="17" fillId="0" borderId="0" xfId="0" applyFont="1"/>
    <xf numFmtId="0" fontId="14" fillId="0" borderId="13" xfId="0" applyFont="1" applyBorder="1" applyAlignment="1">
      <alignment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4" fillId="0" borderId="16" xfId="0" applyFont="1" applyBorder="1" applyAlignment="1">
      <alignment vertical="center"/>
    </xf>
    <xf numFmtId="0" fontId="19" fillId="0" borderId="61" xfId="0" applyFont="1" applyBorder="1" applyAlignment="1">
      <alignment horizontal="center" vertical="center"/>
    </xf>
    <xf numFmtId="0" fontId="19" fillId="0" borderId="62" xfId="0" applyFont="1" applyBorder="1" applyAlignment="1">
      <alignment horizontal="center" vertical="center"/>
    </xf>
    <xf numFmtId="0" fontId="19" fillId="0" borderId="63" xfId="0" applyFont="1" applyBorder="1" applyAlignment="1">
      <alignment horizontal="center" vertical="center"/>
    </xf>
    <xf numFmtId="0" fontId="14" fillId="3" borderId="65" xfId="0" applyFont="1" applyFill="1" applyBorder="1"/>
    <xf numFmtId="0" fontId="19" fillId="3" borderId="33" xfId="0" applyFont="1" applyFill="1" applyBorder="1" applyAlignment="1">
      <alignment horizontal="center"/>
    </xf>
    <xf numFmtId="0" fontId="19" fillId="3" borderId="68" xfId="0" applyFont="1" applyFill="1" applyBorder="1" applyAlignment="1">
      <alignment horizontal="center"/>
    </xf>
    <xf numFmtId="0" fontId="19" fillId="3" borderId="34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 vertical="center" wrapText="1"/>
    </xf>
    <xf numFmtId="0" fontId="3" fillId="0" borderId="18" xfId="0" applyFont="1" applyBorder="1"/>
    <xf numFmtId="164" fontId="2" fillId="0" borderId="3" xfId="0" applyNumberFormat="1" applyFont="1" applyBorder="1" applyAlignment="1">
      <alignment horizontal="center"/>
    </xf>
    <xf numFmtId="164" fontId="2" fillId="0" borderId="47" xfId="0" applyNumberFormat="1" applyFont="1" applyBorder="1" applyAlignment="1">
      <alignment horizontal="center"/>
    </xf>
    <xf numFmtId="0" fontId="3" fillId="0" borderId="20" xfId="0" applyFont="1" applyBorder="1"/>
    <xf numFmtId="164" fontId="2" fillId="0" borderId="5" xfId="0" applyNumberFormat="1" applyFont="1" applyBorder="1" applyAlignment="1">
      <alignment horizontal="center"/>
    </xf>
    <xf numFmtId="0" fontId="3" fillId="3" borderId="17" xfId="0" applyFont="1" applyFill="1" applyBorder="1"/>
    <xf numFmtId="164" fontId="3" fillId="3" borderId="42" xfId="0" applyNumberFormat="1" applyFont="1" applyFill="1" applyBorder="1" applyAlignment="1">
      <alignment horizontal="left"/>
    </xf>
    <xf numFmtId="164" fontId="2" fillId="3" borderId="42" xfId="0" applyNumberFormat="1" applyFont="1" applyFill="1" applyBorder="1" applyAlignment="1">
      <alignment horizontal="center"/>
    </xf>
    <xf numFmtId="164" fontId="2" fillId="3" borderId="33" xfId="0" applyNumberFormat="1" applyFont="1" applyFill="1" applyBorder="1" applyAlignment="1">
      <alignment horizontal="center"/>
    </xf>
    <xf numFmtId="164" fontId="2" fillId="3" borderId="12" xfId="0" applyNumberFormat="1" applyFont="1" applyFill="1" applyBorder="1" applyAlignment="1">
      <alignment horizontal="center"/>
    </xf>
    <xf numFmtId="164" fontId="3" fillId="3" borderId="12" xfId="0" applyNumberFormat="1" applyFont="1" applyFill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wrapText="1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9" fontId="11" fillId="0" borderId="0" xfId="0" applyNumberFormat="1" applyFont="1"/>
    <xf numFmtId="0" fontId="11" fillId="4" borderId="55" xfId="0" applyFont="1" applyFill="1" applyBorder="1" applyAlignment="1">
      <alignment horizontal="center" vertical="center"/>
    </xf>
    <xf numFmtId="0" fontId="11" fillId="5" borderId="55" xfId="0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3" fillId="2" borderId="9" xfId="0" applyFont="1" applyFill="1" applyBorder="1" applyAlignment="1">
      <alignment horizontal="left" vertical="center" shrinkToFit="1"/>
    </xf>
    <xf numFmtId="0" fontId="20" fillId="6" borderId="12" xfId="0" applyFont="1" applyFill="1" applyBorder="1" applyAlignment="1">
      <alignment wrapText="1"/>
    </xf>
    <xf numFmtId="0" fontId="20" fillId="6" borderId="69" xfId="0" applyFont="1" applyFill="1" applyBorder="1" applyAlignment="1">
      <alignment wrapText="1"/>
    </xf>
    <xf numFmtId="164" fontId="10" fillId="0" borderId="1" xfId="0" applyNumberFormat="1" applyFont="1" applyBorder="1" applyAlignment="1">
      <alignment horizontal="left" vertical="center" wrapText="1"/>
    </xf>
    <xf numFmtId="164" fontId="10" fillId="0" borderId="70" xfId="0" applyNumberFormat="1" applyFont="1" applyBorder="1" applyAlignment="1">
      <alignment horizontal="left" vertical="center" wrapText="1"/>
    </xf>
    <xf numFmtId="1" fontId="2" fillId="0" borderId="60" xfId="0" applyNumberFormat="1" applyFont="1" applyBorder="1" applyAlignment="1">
      <alignment horizontal="center"/>
    </xf>
    <xf numFmtId="2" fontId="3" fillId="0" borderId="60" xfId="0" applyNumberFormat="1" applyFont="1" applyBorder="1" applyAlignment="1">
      <alignment horizontal="center"/>
    </xf>
    <xf numFmtId="2" fontId="3" fillId="0" borderId="72" xfId="0" applyNumberFormat="1" applyFont="1" applyBorder="1" applyAlignment="1">
      <alignment horizontal="center"/>
    </xf>
    <xf numFmtId="2" fontId="3" fillId="0" borderId="31" xfId="0" applyNumberFormat="1" applyFont="1" applyBorder="1" applyAlignment="1">
      <alignment horizontal="center"/>
    </xf>
    <xf numFmtId="1" fontId="3" fillId="0" borderId="73" xfId="0" applyNumberFormat="1" applyFont="1" applyBorder="1" applyAlignment="1">
      <alignment horizontal="center"/>
    </xf>
    <xf numFmtId="0" fontId="3" fillId="0" borderId="18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2" fillId="0" borderId="27" xfId="0" applyFont="1" applyBorder="1" applyAlignment="1">
      <alignment horizontal="center"/>
    </xf>
    <xf numFmtId="0" fontId="2" fillId="2" borderId="74" xfId="0" applyFont="1" applyFill="1" applyBorder="1" applyAlignment="1">
      <alignment horizontal="center"/>
    </xf>
    <xf numFmtId="166" fontId="3" fillId="0" borderId="49" xfId="0" applyNumberFormat="1" applyFont="1" applyBorder="1" applyAlignment="1">
      <alignment horizontal="center"/>
    </xf>
    <xf numFmtId="0" fontId="24" fillId="0" borderId="55" xfId="0" applyFont="1" applyBorder="1" applyAlignment="1">
      <alignment horizontal="center" wrapText="1" readingOrder="1"/>
    </xf>
    <xf numFmtId="0" fontId="3" fillId="0" borderId="28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4" fillId="0" borderId="71" xfId="0" applyFont="1" applyBorder="1" applyAlignment="1">
      <alignment horizontal="center" wrapText="1" readingOrder="1"/>
    </xf>
    <xf numFmtId="0" fontId="3" fillId="0" borderId="75" xfId="0" applyFont="1" applyBorder="1" applyAlignment="1">
      <alignment horizontal="left"/>
    </xf>
    <xf numFmtId="164" fontId="10" fillId="0" borderId="78" xfId="0" applyNumberFormat="1" applyFont="1" applyBorder="1" applyAlignment="1">
      <alignment horizontal="left" vertical="center" wrapText="1"/>
    </xf>
    <xf numFmtId="164" fontId="10" fillId="0" borderId="79" xfId="0" applyNumberFormat="1" applyFont="1" applyBorder="1" applyAlignment="1">
      <alignment horizontal="left" vertical="center" wrapText="1"/>
    </xf>
    <xf numFmtId="0" fontId="2" fillId="0" borderId="80" xfId="0" applyFont="1" applyBorder="1" applyAlignment="1">
      <alignment horizontal="center"/>
    </xf>
    <xf numFmtId="0" fontId="2" fillId="0" borderId="81" xfId="0" applyFont="1" applyBorder="1" applyAlignment="1">
      <alignment horizontal="center"/>
    </xf>
    <xf numFmtId="1" fontId="2" fillId="0" borderId="82" xfId="0" applyNumberFormat="1" applyFont="1" applyBorder="1" applyAlignment="1">
      <alignment horizontal="center"/>
    </xf>
    <xf numFmtId="2" fontId="3" fillId="0" borderId="82" xfId="0" applyNumberFormat="1" applyFont="1" applyBorder="1" applyAlignment="1">
      <alignment horizontal="center"/>
    </xf>
    <xf numFmtId="2" fontId="3" fillId="0" borderId="83" xfId="0" applyNumberFormat="1" applyFont="1" applyBorder="1" applyAlignment="1">
      <alignment horizontal="center"/>
    </xf>
    <xf numFmtId="0" fontId="2" fillId="0" borderId="84" xfId="0" applyFont="1" applyBorder="1" applyAlignment="1">
      <alignment horizontal="center"/>
    </xf>
    <xf numFmtId="0" fontId="3" fillId="0" borderId="82" xfId="0" applyFont="1" applyBorder="1" applyAlignment="1">
      <alignment horizontal="center"/>
    </xf>
    <xf numFmtId="0" fontId="24" fillId="0" borderId="81" xfId="0" applyFont="1" applyBorder="1" applyAlignment="1">
      <alignment horizontal="center" wrapText="1" readingOrder="1"/>
    </xf>
    <xf numFmtId="2" fontId="3" fillId="0" borderId="85" xfId="0" applyNumberFormat="1" applyFont="1" applyBorder="1" applyAlignment="1">
      <alignment horizontal="center"/>
    </xf>
    <xf numFmtId="1" fontId="3" fillId="0" borderId="86" xfId="0" applyNumberFormat="1" applyFont="1" applyBorder="1" applyAlignment="1">
      <alignment horizontal="center"/>
    </xf>
    <xf numFmtId="0" fontId="26" fillId="0" borderId="34" xfId="0" applyFont="1" applyBorder="1" applyAlignment="1">
      <alignment horizontal="center" vertical="center"/>
    </xf>
    <xf numFmtId="0" fontId="27" fillId="0" borderId="4" xfId="0" applyFont="1" applyBorder="1"/>
    <xf numFmtId="0" fontId="28" fillId="0" borderId="6" xfId="0" applyFont="1" applyBorder="1"/>
    <xf numFmtId="164" fontId="10" fillId="0" borderId="90" xfId="0" applyNumberFormat="1" applyFont="1" applyBorder="1" applyAlignment="1">
      <alignment horizontal="left" vertical="center" wrapText="1"/>
    </xf>
    <xf numFmtId="2" fontId="3" fillId="2" borderId="28" xfId="0" applyNumberFormat="1" applyFont="1" applyFill="1" applyBorder="1" applyAlignment="1">
      <alignment horizontal="center"/>
    </xf>
    <xf numFmtId="0" fontId="3" fillId="0" borderId="93" xfId="0" applyFont="1" applyBorder="1" applyAlignment="1">
      <alignment horizontal="center"/>
    </xf>
    <xf numFmtId="0" fontId="24" fillId="0" borderId="6" xfId="0" applyFont="1" applyBorder="1" applyAlignment="1">
      <alignment horizontal="center" wrapText="1" readingOrder="1"/>
    </xf>
    <xf numFmtId="2" fontId="3" fillId="2" borderId="29" xfId="0" applyNumberFormat="1" applyFont="1" applyFill="1" applyBorder="1" applyAlignment="1">
      <alignment horizontal="center"/>
    </xf>
    <xf numFmtId="2" fontId="3" fillId="0" borderId="93" xfId="0" applyNumberFormat="1" applyFont="1" applyBorder="1" applyAlignment="1">
      <alignment horizontal="center"/>
    </xf>
    <xf numFmtId="0" fontId="3" fillId="0" borderId="94" xfId="0" applyFont="1" applyBorder="1" applyAlignment="1">
      <alignment horizontal="center"/>
    </xf>
    <xf numFmtId="2" fontId="3" fillId="0" borderId="94" xfId="0" applyNumberFormat="1" applyFont="1" applyBorder="1" applyAlignment="1">
      <alignment horizontal="center"/>
    </xf>
    <xf numFmtId="0" fontId="3" fillId="0" borderId="95" xfId="0" applyFont="1" applyBorder="1" applyAlignment="1">
      <alignment horizontal="center"/>
    </xf>
    <xf numFmtId="0" fontId="2" fillId="2" borderId="96" xfId="0" applyFont="1" applyFill="1" applyBorder="1" applyAlignment="1">
      <alignment horizontal="center"/>
    </xf>
    <xf numFmtId="0" fontId="2" fillId="2" borderId="77" xfId="0" applyFont="1" applyFill="1" applyBorder="1" applyAlignment="1">
      <alignment horizontal="center"/>
    </xf>
    <xf numFmtId="0" fontId="2" fillId="2" borderId="97" xfId="0" applyFont="1" applyFill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24" fillId="0" borderId="93" xfId="0" applyFont="1" applyBorder="1" applyAlignment="1">
      <alignment horizontal="center" wrapText="1" readingOrder="1"/>
    </xf>
    <xf numFmtId="2" fontId="3" fillId="0" borderId="98" xfId="0" applyNumberFormat="1" applyFont="1" applyBorder="1" applyAlignment="1">
      <alignment horizontal="center"/>
    </xf>
    <xf numFmtId="2" fontId="3" fillId="0" borderId="99" xfId="0" applyNumberFormat="1" applyFont="1" applyBorder="1" applyAlignment="1">
      <alignment horizontal="center"/>
    </xf>
    <xf numFmtId="2" fontId="3" fillId="0" borderId="100" xfId="0" applyNumberFormat="1" applyFont="1" applyBorder="1" applyAlignment="1">
      <alignment horizontal="center"/>
    </xf>
    <xf numFmtId="2" fontId="3" fillId="2" borderId="101" xfId="0" applyNumberFormat="1" applyFont="1" applyFill="1" applyBorder="1" applyAlignment="1">
      <alignment horizontal="center"/>
    </xf>
    <xf numFmtId="0" fontId="24" fillId="0" borderId="2" xfId="0" applyFont="1" applyBorder="1" applyAlignment="1">
      <alignment horizontal="center" wrapText="1" readingOrder="1"/>
    </xf>
    <xf numFmtId="2" fontId="3" fillId="0" borderId="95" xfId="0" applyNumberFormat="1" applyFont="1" applyBorder="1" applyAlignment="1">
      <alignment horizontal="center"/>
    </xf>
    <xf numFmtId="0" fontId="24" fillId="0" borderId="95" xfId="0" applyFont="1" applyBorder="1" applyAlignment="1">
      <alignment horizontal="center" wrapText="1" readingOrder="1"/>
    </xf>
    <xf numFmtId="2" fontId="3" fillId="0" borderId="102" xfId="0" applyNumberFormat="1" applyFont="1" applyBorder="1" applyAlignment="1">
      <alignment horizontal="center"/>
    </xf>
    <xf numFmtId="0" fontId="2" fillId="2" borderId="103" xfId="0" applyFont="1" applyFill="1" applyBorder="1" applyAlignment="1">
      <alignment horizontal="center"/>
    </xf>
    <xf numFmtId="0" fontId="2" fillId="2" borderId="81" xfId="0" applyFont="1" applyFill="1" applyBorder="1" applyAlignment="1">
      <alignment horizontal="center"/>
    </xf>
    <xf numFmtId="0" fontId="2" fillId="2" borderId="76" xfId="0" applyFont="1" applyFill="1" applyBorder="1" applyAlignment="1">
      <alignment horizontal="center"/>
    </xf>
    <xf numFmtId="0" fontId="3" fillId="0" borderId="104" xfId="0" applyFont="1" applyBorder="1" applyAlignment="1">
      <alignment horizontal="center"/>
    </xf>
    <xf numFmtId="0" fontId="24" fillId="0" borderId="94" xfId="0" applyFont="1" applyBorder="1" applyAlignment="1">
      <alignment horizontal="center" wrapText="1" readingOrder="1"/>
    </xf>
    <xf numFmtId="2" fontId="3" fillId="0" borderId="105" xfId="0" applyNumberFormat="1" applyFont="1" applyBorder="1" applyAlignment="1">
      <alignment horizontal="center"/>
    </xf>
    <xf numFmtId="2" fontId="3" fillId="0" borderId="106" xfId="0" applyNumberFormat="1" applyFont="1" applyBorder="1" applyAlignment="1">
      <alignment horizontal="center"/>
    </xf>
    <xf numFmtId="0" fontId="2" fillId="0" borderId="104" xfId="0" applyFont="1" applyBorder="1" applyAlignment="1">
      <alignment horizontal="center"/>
    </xf>
    <xf numFmtId="1" fontId="2" fillId="0" borderId="104" xfId="0" applyNumberFormat="1" applyFont="1" applyBorder="1" applyAlignment="1">
      <alignment horizontal="center"/>
    </xf>
    <xf numFmtId="2" fontId="3" fillId="0" borderId="104" xfId="0" applyNumberFormat="1" applyFont="1" applyBorder="1" applyAlignment="1">
      <alignment horizontal="center"/>
    </xf>
    <xf numFmtId="0" fontId="24" fillId="0" borderId="104" xfId="0" applyFont="1" applyBorder="1" applyAlignment="1">
      <alignment horizontal="center" wrapText="1" readingOrder="1"/>
    </xf>
    <xf numFmtId="2" fontId="3" fillId="0" borderId="107" xfId="0" applyNumberFormat="1" applyFont="1" applyBorder="1" applyAlignment="1">
      <alignment horizontal="center"/>
    </xf>
    <xf numFmtId="2" fontId="3" fillId="0" borderId="96" xfId="0" applyNumberFormat="1" applyFont="1" applyBorder="1" applyAlignment="1">
      <alignment horizontal="center"/>
    </xf>
    <xf numFmtId="1" fontId="3" fillId="0" borderId="108" xfId="0" applyNumberFormat="1" applyFont="1" applyBorder="1" applyAlignment="1">
      <alignment horizontal="center"/>
    </xf>
    <xf numFmtId="2" fontId="3" fillId="0" borderId="18" xfId="0" applyNumberFormat="1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0" fillId="0" borderId="109" xfId="0" applyBorder="1"/>
    <xf numFmtId="0" fontId="3" fillId="0" borderId="1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0" fillId="6" borderId="44" xfId="0" applyFont="1" applyFill="1" applyBorder="1" applyAlignment="1">
      <alignment wrapText="1"/>
    </xf>
    <xf numFmtId="0" fontId="20" fillId="6" borderId="110" xfId="0" applyFont="1" applyFill="1" applyBorder="1" applyAlignment="1">
      <alignment wrapText="1"/>
    </xf>
    <xf numFmtId="0" fontId="21" fillId="0" borderId="110" xfId="0" applyFont="1" applyBorder="1" applyAlignment="1">
      <alignment wrapText="1"/>
    </xf>
    <xf numFmtId="0" fontId="20" fillId="6" borderId="64" xfId="0" applyFont="1" applyFill="1" applyBorder="1" applyAlignment="1">
      <alignment wrapText="1"/>
    </xf>
    <xf numFmtId="0" fontId="27" fillId="6" borderId="93" xfId="0" applyFont="1" applyFill="1" applyBorder="1" applyAlignment="1">
      <alignment wrapText="1"/>
    </xf>
    <xf numFmtId="0" fontId="29" fillId="0" borderId="4" xfId="0" applyFont="1" applyBorder="1"/>
    <xf numFmtId="0" fontId="29" fillId="0" borderId="6" xfId="0" applyFont="1" applyBorder="1"/>
    <xf numFmtId="0" fontId="3" fillId="2" borderId="9" xfId="0" applyFont="1" applyFill="1" applyBorder="1" applyAlignment="1">
      <alignment horizontal="left" vertical="center" shrinkToFit="1"/>
    </xf>
    <xf numFmtId="0" fontId="8" fillId="0" borderId="10" xfId="0" applyFont="1" applyBorder="1"/>
    <xf numFmtId="0" fontId="8" fillId="0" borderId="11" xfId="0" applyFont="1" applyBorder="1"/>
    <xf numFmtId="0" fontId="29" fillId="0" borderId="87" xfId="0" applyFont="1" applyBorder="1"/>
    <xf numFmtId="0" fontId="29" fillId="0" borderId="88" xfId="0" applyFont="1" applyBorder="1"/>
    <xf numFmtId="0" fontId="12" fillId="0" borderId="17" xfId="0" applyFont="1" applyBorder="1" applyAlignment="1">
      <alignment horizontal="center" vertical="center"/>
    </xf>
    <xf numFmtId="0" fontId="12" fillId="0" borderId="68" xfId="0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8" fillId="0" borderId="14" xfId="0" applyFont="1" applyBorder="1"/>
    <xf numFmtId="0" fontId="8" fillId="0" borderId="15" xfId="0" applyFont="1" applyBorder="1"/>
    <xf numFmtId="0" fontId="6" fillId="0" borderId="9" xfId="0" applyFont="1" applyBorder="1" applyAlignment="1">
      <alignment horizontal="center" vertical="center"/>
    </xf>
    <xf numFmtId="0" fontId="8" fillId="0" borderId="22" xfId="0" applyFont="1" applyBorder="1"/>
    <xf numFmtId="0" fontId="6" fillId="0" borderId="2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2" fontId="3" fillId="0" borderId="31" xfId="0" applyNumberFormat="1" applyFont="1" applyBorder="1" applyAlignment="1">
      <alignment horizontal="center" vertical="top"/>
    </xf>
    <xf numFmtId="0" fontId="8" fillId="0" borderId="36" xfId="0" applyFont="1" applyBorder="1"/>
    <xf numFmtId="2" fontId="3" fillId="0" borderId="32" xfId="0" applyNumberFormat="1" applyFont="1" applyBorder="1" applyAlignment="1">
      <alignment horizontal="center" vertical="top"/>
    </xf>
    <xf numFmtId="0" fontId="8" fillId="0" borderId="37" xfId="0" applyFont="1" applyBorder="1"/>
    <xf numFmtId="0" fontId="3" fillId="0" borderId="9" xfId="0" applyFont="1" applyBorder="1" applyAlignment="1">
      <alignment horizontal="right" shrinkToFit="1"/>
    </xf>
    <xf numFmtId="0" fontId="25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right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0" xfId="0"/>
    <xf numFmtId="164" fontId="22" fillId="0" borderId="4" xfId="0" applyNumberFormat="1" applyFont="1" applyBorder="1" applyAlignment="1">
      <alignment horizontal="center" vertical="center"/>
    </xf>
    <xf numFmtId="0" fontId="8" fillId="0" borderId="5" xfId="0" applyFont="1" applyBorder="1"/>
    <xf numFmtId="0" fontId="8" fillId="0" borderId="6" xfId="0" applyFont="1" applyBorder="1"/>
    <xf numFmtId="164" fontId="6" fillId="0" borderId="0" xfId="0" applyNumberFormat="1" applyFont="1" applyAlignment="1">
      <alignment horizontal="right" vertical="center"/>
    </xf>
    <xf numFmtId="164" fontId="7" fillId="0" borderId="4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right" vertical="center"/>
    </xf>
    <xf numFmtId="0" fontId="8" fillId="0" borderId="8" xfId="0" applyFont="1" applyBorder="1"/>
    <xf numFmtId="0" fontId="1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164" fontId="22" fillId="0" borderId="4" xfId="0" applyNumberFormat="1" applyFont="1" applyBorder="1" applyAlignment="1">
      <alignment horizontal="center" vertical="center" shrinkToFit="1"/>
    </xf>
    <xf numFmtId="164" fontId="6" fillId="0" borderId="3" xfId="0" applyNumberFormat="1" applyFont="1" applyBorder="1" applyAlignment="1">
      <alignment horizontal="right" vertical="center"/>
    </xf>
    <xf numFmtId="0" fontId="8" fillId="0" borderId="3" xfId="0" applyFont="1" applyBorder="1"/>
    <xf numFmtId="0" fontId="29" fillId="0" borderId="89" xfId="0" applyFont="1" applyBorder="1"/>
    <xf numFmtId="0" fontId="29" fillId="0" borderId="58" xfId="0" applyFont="1" applyBorder="1"/>
    <xf numFmtId="0" fontId="29" fillId="0" borderId="87" xfId="0" applyFont="1" applyBorder="1" applyAlignment="1">
      <alignment horizontal="left"/>
    </xf>
    <xf numFmtId="0" fontId="29" fillId="0" borderId="88" xfId="0" applyFont="1" applyBorder="1" applyAlignment="1">
      <alignment horizontal="left"/>
    </xf>
    <xf numFmtId="0" fontId="29" fillId="0" borderId="4" xfId="0" applyFont="1" applyBorder="1" applyAlignment="1">
      <alignment horizontal="left"/>
    </xf>
    <xf numFmtId="0" fontId="29" fillId="0" borderId="6" xfId="0" applyFont="1" applyBorder="1" applyAlignment="1">
      <alignment horizontal="left"/>
    </xf>
    <xf numFmtId="0" fontId="29" fillId="0" borderId="91" xfId="0" applyFont="1" applyBorder="1" applyAlignment="1">
      <alignment horizontal="left"/>
    </xf>
    <xf numFmtId="0" fontId="29" fillId="0" borderId="92" xfId="0" applyFont="1" applyBorder="1" applyAlignment="1">
      <alignment horizontal="left"/>
    </xf>
    <xf numFmtId="164" fontId="23" fillId="0" borderId="10" xfId="0" applyNumberFormat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164" fontId="25" fillId="0" borderId="4" xfId="0" applyNumberFormat="1" applyFont="1" applyBorder="1" applyAlignment="1">
      <alignment horizontal="center" vertical="center" shrinkToFit="1"/>
    </xf>
    <xf numFmtId="164" fontId="3" fillId="0" borderId="4" xfId="0" applyNumberFormat="1" applyFont="1" applyBorder="1" applyAlignment="1">
      <alignment horizontal="center" vertical="center" shrinkToFit="1"/>
    </xf>
    <xf numFmtId="164" fontId="25" fillId="0" borderId="4" xfId="0" applyNumberFormat="1" applyFont="1" applyBorder="1" applyAlignment="1">
      <alignment horizontal="center" vertical="center"/>
    </xf>
    <xf numFmtId="0" fontId="27" fillId="0" borderId="4" xfId="0" applyFont="1" applyBorder="1"/>
    <xf numFmtId="0" fontId="27" fillId="0" borderId="6" xfId="0" applyFont="1" applyBorder="1"/>
    <xf numFmtId="0" fontId="6" fillId="0" borderId="14" xfId="0" applyFont="1" applyBorder="1" applyAlignment="1">
      <alignment horizontal="left" vertical="center"/>
    </xf>
    <xf numFmtId="0" fontId="3" fillId="0" borderId="28" xfId="0" applyFont="1" applyBorder="1" applyAlignment="1">
      <alignment horizontal="center" vertical="center"/>
    </xf>
    <xf numFmtId="0" fontId="8" fillId="0" borderId="64" xfId="0" applyFont="1" applyBorder="1"/>
    <xf numFmtId="0" fontId="3" fillId="3" borderId="7" xfId="0" applyFont="1" applyFill="1" applyBorder="1" applyAlignment="1">
      <alignment horizontal="left" vertical="center"/>
    </xf>
    <xf numFmtId="0" fontId="8" fillId="0" borderId="66" xfId="0" applyFont="1" applyBorder="1"/>
    <xf numFmtId="0" fontId="8" fillId="0" borderId="67" xfId="0" applyFont="1" applyBorder="1"/>
    <xf numFmtId="164" fontId="9" fillId="0" borderId="0" xfId="0" applyNumberFormat="1" applyFont="1" applyAlignment="1">
      <alignment horizontal="right" vertical="center"/>
    </xf>
    <xf numFmtId="164" fontId="3" fillId="0" borderId="4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0</xdr:row>
      <xdr:rowOff>47625</xdr:rowOff>
    </xdr:from>
    <xdr:ext cx="1162050" cy="990600"/>
    <xdr:pic>
      <xdr:nvPicPr>
        <xdr:cNvPr id="2" name="image2.png">
          <a:extLst>
            <a:ext uri="{FF2B5EF4-FFF2-40B4-BE49-F238E27FC236}">
              <a16:creationId xmlns:a16="http://schemas.microsoft.com/office/drawing/2014/main" id="{20F801B9-846F-4894-A111-7BB3D8274F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0515" y="47625"/>
          <a:ext cx="1162050" cy="990600"/>
        </a:xfrm>
        <a:prstGeom prst="rect">
          <a:avLst/>
        </a:prstGeom>
        <a:noFill/>
      </xdr:spPr>
    </xdr:pic>
    <xdr:clientData fLocksWithSheet="0"/>
  </xdr:oneCellAnchor>
  <xdr:oneCellAnchor>
    <xdr:from>
      <xdr:col>31</xdr:col>
      <xdr:colOff>409575</xdr:colOff>
      <xdr:row>0</xdr:row>
      <xdr:rowOff>0</xdr:rowOff>
    </xdr:from>
    <xdr:ext cx="2019300" cy="752475"/>
    <xdr:pic>
      <xdr:nvPicPr>
        <xdr:cNvPr id="3" name="image1.gif" descr="http://depedverify.appspot.com/img/logo.gif">
          <a:extLst>
            <a:ext uri="{FF2B5EF4-FFF2-40B4-BE49-F238E27FC236}">
              <a16:creationId xmlns:a16="http://schemas.microsoft.com/office/drawing/2014/main" id="{39FAEE65-BE39-4F86-A7E3-96B642B3998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892915" y="0"/>
          <a:ext cx="2019300" cy="7524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0</xdr:row>
      <xdr:rowOff>47625</xdr:rowOff>
    </xdr:from>
    <xdr:ext cx="1162050" cy="990600"/>
    <xdr:pic>
      <xdr:nvPicPr>
        <xdr:cNvPr id="2" name="image2.png">
          <a:extLst>
            <a:ext uri="{FF2B5EF4-FFF2-40B4-BE49-F238E27FC236}">
              <a16:creationId xmlns:a16="http://schemas.microsoft.com/office/drawing/2014/main" id="{46478C49-5223-4239-BAA0-4DD5F26AA9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0515" y="47625"/>
          <a:ext cx="1162050" cy="990600"/>
        </a:xfrm>
        <a:prstGeom prst="rect">
          <a:avLst/>
        </a:prstGeom>
        <a:noFill/>
      </xdr:spPr>
    </xdr:pic>
    <xdr:clientData fLocksWithSheet="0"/>
  </xdr:oneCellAnchor>
  <xdr:oneCellAnchor>
    <xdr:from>
      <xdr:col>31</xdr:col>
      <xdr:colOff>409575</xdr:colOff>
      <xdr:row>0</xdr:row>
      <xdr:rowOff>0</xdr:rowOff>
    </xdr:from>
    <xdr:ext cx="2019300" cy="752475"/>
    <xdr:pic>
      <xdr:nvPicPr>
        <xdr:cNvPr id="3" name="image1.gif" descr="http://depedverify.appspot.com/img/logo.gif">
          <a:extLst>
            <a:ext uri="{FF2B5EF4-FFF2-40B4-BE49-F238E27FC236}">
              <a16:creationId xmlns:a16="http://schemas.microsoft.com/office/drawing/2014/main" id="{3F43F5B4-4579-4ACD-A4C8-183398CAD5A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892915" y="0"/>
          <a:ext cx="2019300" cy="7524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0</xdr:row>
      <xdr:rowOff>47625</xdr:rowOff>
    </xdr:from>
    <xdr:ext cx="1162050" cy="990600"/>
    <xdr:pic>
      <xdr:nvPicPr>
        <xdr:cNvPr id="2" name="image2.png">
          <a:extLst>
            <a:ext uri="{FF2B5EF4-FFF2-40B4-BE49-F238E27FC236}">
              <a16:creationId xmlns:a16="http://schemas.microsoft.com/office/drawing/2014/main" id="{1DB604C9-CBFE-4037-A8CA-1F8D72533F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0515" y="47625"/>
          <a:ext cx="1162050" cy="990600"/>
        </a:xfrm>
        <a:prstGeom prst="rect">
          <a:avLst/>
        </a:prstGeom>
        <a:noFill/>
      </xdr:spPr>
    </xdr:pic>
    <xdr:clientData fLocksWithSheet="0"/>
  </xdr:oneCellAnchor>
  <xdr:oneCellAnchor>
    <xdr:from>
      <xdr:col>31</xdr:col>
      <xdr:colOff>409575</xdr:colOff>
      <xdr:row>0</xdr:row>
      <xdr:rowOff>0</xdr:rowOff>
    </xdr:from>
    <xdr:ext cx="2019300" cy="752475"/>
    <xdr:pic>
      <xdr:nvPicPr>
        <xdr:cNvPr id="3" name="image1.gif" descr="http://depedverify.appspot.com/img/logo.gif">
          <a:extLst>
            <a:ext uri="{FF2B5EF4-FFF2-40B4-BE49-F238E27FC236}">
              <a16:creationId xmlns:a16="http://schemas.microsoft.com/office/drawing/2014/main" id="{101DD1D7-74C9-4B00-AF0D-8B84F9B86AC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892915" y="0"/>
          <a:ext cx="2019300" cy="7524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0</xdr:row>
      <xdr:rowOff>47625</xdr:rowOff>
    </xdr:from>
    <xdr:ext cx="1162050" cy="990600"/>
    <xdr:pic>
      <xdr:nvPicPr>
        <xdr:cNvPr id="2" name="image2.png">
          <a:extLst>
            <a:ext uri="{FF2B5EF4-FFF2-40B4-BE49-F238E27FC236}">
              <a16:creationId xmlns:a16="http://schemas.microsoft.com/office/drawing/2014/main" id="{4F1FF0A5-1BFC-477F-9115-52F7829497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0515" y="47625"/>
          <a:ext cx="1162050" cy="990600"/>
        </a:xfrm>
        <a:prstGeom prst="rect">
          <a:avLst/>
        </a:prstGeom>
        <a:noFill/>
      </xdr:spPr>
    </xdr:pic>
    <xdr:clientData fLocksWithSheet="0"/>
  </xdr:oneCellAnchor>
  <xdr:oneCellAnchor>
    <xdr:from>
      <xdr:col>31</xdr:col>
      <xdr:colOff>409575</xdr:colOff>
      <xdr:row>0</xdr:row>
      <xdr:rowOff>0</xdr:rowOff>
    </xdr:from>
    <xdr:ext cx="2019300" cy="752475"/>
    <xdr:pic>
      <xdr:nvPicPr>
        <xdr:cNvPr id="3" name="image1.gif" descr="http://depedverify.appspot.com/img/logo.gif">
          <a:extLst>
            <a:ext uri="{FF2B5EF4-FFF2-40B4-BE49-F238E27FC236}">
              <a16:creationId xmlns:a16="http://schemas.microsoft.com/office/drawing/2014/main" id="{DF7211B6-7BE4-4402-A968-1653CCEF7BE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892915" y="0"/>
          <a:ext cx="2019300" cy="7524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0</xdr:row>
      <xdr:rowOff>47625</xdr:rowOff>
    </xdr:from>
    <xdr:ext cx="1162050" cy="9906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409575</xdr:colOff>
      <xdr:row>0</xdr:row>
      <xdr:rowOff>0</xdr:rowOff>
    </xdr:from>
    <xdr:ext cx="2019300" cy="752475"/>
    <xdr:pic>
      <xdr:nvPicPr>
        <xdr:cNvPr id="3" name="image1.gif" descr="http://depedverify.appspot.com/img/logo.gif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3594</xdr:colOff>
      <xdr:row>1</xdr:row>
      <xdr:rowOff>47625</xdr:rowOff>
    </xdr:from>
    <xdr:ext cx="1181100" cy="10668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94" y="241719"/>
          <a:ext cx="1181100" cy="10668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1</xdr:row>
      <xdr:rowOff>333375</xdr:rowOff>
    </xdr:from>
    <xdr:ext cx="1476375" cy="571500"/>
    <xdr:pic>
      <xdr:nvPicPr>
        <xdr:cNvPr id="3" name="image1.gif" descr="http://depedverify.appspot.com/img/logo.gif" title="Imag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123825</xdr:colOff>
      <xdr:row>0</xdr:row>
      <xdr:rowOff>0</xdr:rowOff>
    </xdr:from>
    <xdr:ext cx="4524375" cy="5143500"/>
    <xdr:pic>
      <xdr:nvPicPr>
        <xdr:cNvPr id="2" name="image3.png" descr="Screen Clippi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133350</xdr:colOff>
      <xdr:row>0</xdr:row>
      <xdr:rowOff>161925</xdr:rowOff>
    </xdr:from>
    <xdr:ext cx="5648325" cy="1704975"/>
    <xdr:pic>
      <xdr:nvPicPr>
        <xdr:cNvPr id="3" name="image4.png" descr="Screen Clippi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814DC-F34C-48D6-8E03-89BAF4BB2C89}">
  <sheetPr>
    <tabColor rgb="FFFF9933"/>
    <pageSetUpPr fitToPage="1"/>
  </sheetPr>
  <dimension ref="A1:BF59"/>
  <sheetViews>
    <sheetView showGridLines="0" topLeftCell="A25" zoomScale="96" zoomScaleNormal="96" workbookViewId="0">
      <selection activeCell="A46" sqref="A46:XFD46"/>
    </sheetView>
  </sheetViews>
  <sheetFormatPr defaultColWidth="14.42578125" defaultRowHeight="15" customHeight="1"/>
  <cols>
    <col min="1" max="1" width="4.140625" customWidth="1"/>
    <col min="2" max="2" width="28.7109375" customWidth="1"/>
    <col min="3" max="3" width="3.28515625" customWidth="1"/>
    <col min="4" max="4" width="3.28515625" hidden="1" customWidth="1"/>
    <col min="5" max="5" width="1" hidden="1" customWidth="1"/>
    <col min="6" max="15" width="4.42578125" customWidth="1"/>
    <col min="16" max="16" width="6.28515625" customWidth="1"/>
    <col min="17" max="17" width="8.5703125" customWidth="1"/>
    <col min="18" max="18" width="7.140625" customWidth="1"/>
    <col min="19" max="28" width="4.42578125" customWidth="1"/>
    <col min="29" max="29" width="6.28515625" customWidth="1"/>
    <col min="30" max="30" width="8.42578125" customWidth="1"/>
    <col min="31" max="31" width="7.140625" customWidth="1"/>
    <col min="32" max="32" width="6.28515625" customWidth="1"/>
    <col min="33" max="34" width="7.140625" customWidth="1"/>
    <col min="35" max="36" width="10.28515625" customWidth="1"/>
    <col min="37" max="37" width="4.7109375" customWidth="1"/>
    <col min="38" max="38" width="24.7109375" customWidth="1"/>
    <col min="39" max="39" width="8.140625" customWidth="1"/>
    <col min="40" max="57" width="4.7109375" customWidth="1"/>
    <col min="58" max="58" width="4.7109375" hidden="1" customWidth="1"/>
  </cols>
  <sheetData>
    <row r="1" spans="1:58" ht="15" customHeight="1">
      <c r="A1" s="241" t="s">
        <v>12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"/>
      <c r="AL1" s="2"/>
      <c r="AM1" s="2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2"/>
      <c r="BF1" s="2"/>
    </row>
    <row r="2" spans="1:58" ht="15" customHeight="1">
      <c r="A2" s="233"/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"/>
      <c r="AL2" s="2"/>
      <c r="AM2" s="2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2"/>
      <c r="BF2" s="2"/>
    </row>
    <row r="3" spans="1:58" ht="15" customHeight="1">
      <c r="A3" s="242" t="s">
        <v>13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"/>
      <c r="AL3" s="2"/>
      <c r="AM3" s="2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2"/>
      <c r="BF3" s="2"/>
    </row>
    <row r="4" spans="1:58" ht="21" customHeight="1">
      <c r="A4" s="4"/>
      <c r="B4" s="5"/>
      <c r="C4" s="232" t="s">
        <v>0</v>
      </c>
      <c r="D4" s="233"/>
      <c r="E4" s="233"/>
      <c r="F4" s="233"/>
      <c r="G4" s="243" t="s">
        <v>93</v>
      </c>
      <c r="H4" s="235"/>
      <c r="I4" s="235"/>
      <c r="J4" s="236"/>
      <c r="K4" s="19"/>
      <c r="L4" s="244" t="s">
        <v>1</v>
      </c>
      <c r="M4" s="245"/>
      <c r="N4" s="245"/>
      <c r="O4" s="243" t="s">
        <v>95</v>
      </c>
      <c r="P4" s="235"/>
      <c r="Q4" s="235"/>
      <c r="R4" s="236"/>
      <c r="S4" s="20"/>
      <c r="T4" s="237" t="s">
        <v>2</v>
      </c>
      <c r="U4" s="233"/>
      <c r="V4" s="233"/>
      <c r="W4" s="233"/>
      <c r="X4" s="243" t="s">
        <v>94</v>
      </c>
      <c r="Y4" s="235"/>
      <c r="Z4" s="235"/>
      <c r="AA4" s="235"/>
      <c r="AB4" s="235"/>
      <c r="AC4" s="236"/>
      <c r="AD4" s="21"/>
      <c r="AE4" s="22"/>
      <c r="AF4" s="20"/>
      <c r="AG4" s="20"/>
      <c r="AH4" s="20"/>
      <c r="AI4" s="20"/>
      <c r="AJ4" s="6"/>
      <c r="AK4" s="6"/>
      <c r="AL4" s="6"/>
      <c r="AM4" s="6"/>
      <c r="AN4" s="6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2"/>
      <c r="BF4" s="2"/>
    </row>
    <row r="5" spans="1:58" ht="21.75" customHeight="1">
      <c r="A5" s="4"/>
      <c r="B5" s="232" t="s">
        <v>3</v>
      </c>
      <c r="C5" s="233"/>
      <c r="D5" s="233"/>
      <c r="E5" s="233"/>
      <c r="F5" s="233"/>
      <c r="G5" s="234" t="s">
        <v>70</v>
      </c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6"/>
      <c r="S5" s="19"/>
      <c r="T5" s="237" t="s">
        <v>4</v>
      </c>
      <c r="U5" s="233"/>
      <c r="V5" s="233"/>
      <c r="W5" s="233"/>
      <c r="X5" s="238">
        <v>136632</v>
      </c>
      <c r="Y5" s="235"/>
      <c r="Z5" s="235"/>
      <c r="AA5" s="235"/>
      <c r="AB5" s="235"/>
      <c r="AC5" s="236"/>
      <c r="AD5" s="239" t="s">
        <v>5</v>
      </c>
      <c r="AE5" s="233"/>
      <c r="AF5" s="240"/>
      <c r="AG5" s="234" t="s">
        <v>98</v>
      </c>
      <c r="AH5" s="235"/>
      <c r="AI5" s="236"/>
      <c r="AJ5" s="8"/>
      <c r="AK5" s="6"/>
      <c r="AL5" s="6"/>
      <c r="AM5" s="6"/>
      <c r="AN5" s="6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2"/>
      <c r="BF5" s="2"/>
    </row>
    <row r="6" spans="1:58" ht="13.5" customHeight="1" thickBo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7"/>
      <c r="R6" s="7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7"/>
      <c r="AE6" s="7"/>
      <c r="AF6" s="4"/>
      <c r="AG6" s="7"/>
      <c r="AH6" s="7"/>
      <c r="AI6" s="7"/>
      <c r="AJ6" s="9"/>
      <c r="AK6" s="2"/>
      <c r="AL6" s="2"/>
      <c r="AM6" s="2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2"/>
      <c r="BF6" s="2"/>
    </row>
    <row r="7" spans="1:58" ht="23.25" customHeight="1" thickBot="1">
      <c r="A7" s="228" t="s">
        <v>6</v>
      </c>
      <c r="B7" s="209"/>
      <c r="C7" s="209"/>
      <c r="D7" s="209"/>
      <c r="E7" s="210"/>
      <c r="F7" s="229" t="s">
        <v>7</v>
      </c>
      <c r="G7" s="209"/>
      <c r="H7" s="209"/>
      <c r="I7" s="209"/>
      <c r="J7" s="209"/>
      <c r="K7" s="215"/>
      <c r="L7" s="209"/>
      <c r="M7" s="209"/>
      <c r="N7" s="209"/>
      <c r="O7" s="209"/>
      <c r="P7" s="210"/>
      <c r="Q7" s="230" t="s">
        <v>8</v>
      </c>
      <c r="R7" s="209"/>
      <c r="S7" s="215"/>
      <c r="T7" s="209"/>
      <c r="U7" s="209"/>
      <c r="V7" s="209"/>
      <c r="W7" s="209"/>
      <c r="X7" s="209"/>
      <c r="Y7" s="209"/>
      <c r="Z7" s="209"/>
      <c r="AA7" s="209"/>
      <c r="AB7" s="210"/>
      <c r="AC7" s="231" t="s">
        <v>14</v>
      </c>
      <c r="AD7" s="209"/>
      <c r="AE7" s="209"/>
      <c r="AF7" s="209"/>
      <c r="AG7" s="215" t="s">
        <v>15</v>
      </c>
      <c r="AH7" s="209"/>
      <c r="AI7" s="209"/>
      <c r="AJ7" s="210"/>
      <c r="AK7" s="2"/>
      <c r="AL7" s="2"/>
      <c r="AM7" s="2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2"/>
      <c r="BF7" s="2"/>
    </row>
    <row r="8" spans="1:58" ht="55.5" customHeight="1" thickBot="1">
      <c r="A8" s="10"/>
      <c r="B8" s="216" t="s">
        <v>9</v>
      </c>
      <c r="C8" s="217"/>
      <c r="D8" s="217"/>
      <c r="E8" s="218"/>
      <c r="F8" s="219" t="s">
        <v>16</v>
      </c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20"/>
      <c r="S8" s="221" t="s">
        <v>17</v>
      </c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20"/>
      <c r="AF8" s="222" t="s">
        <v>18</v>
      </c>
      <c r="AG8" s="209"/>
      <c r="AH8" s="220"/>
      <c r="AI8" s="23" t="s">
        <v>19</v>
      </c>
      <c r="AJ8" s="24" t="s">
        <v>20</v>
      </c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</row>
    <row r="9" spans="1:58" ht="18" customHeight="1" thickBot="1">
      <c r="A9" s="25"/>
      <c r="B9" s="26"/>
      <c r="C9" s="26"/>
      <c r="D9" s="26"/>
      <c r="E9" s="27"/>
      <c r="F9" s="28">
        <v>1</v>
      </c>
      <c r="G9" s="29">
        <v>2</v>
      </c>
      <c r="H9" s="29">
        <v>3</v>
      </c>
      <c r="I9" s="29">
        <v>4</v>
      </c>
      <c r="J9" s="29">
        <v>5</v>
      </c>
      <c r="K9" s="29">
        <v>6</v>
      </c>
      <c r="L9" s="29">
        <v>7</v>
      </c>
      <c r="M9" s="29">
        <v>8</v>
      </c>
      <c r="N9" s="29">
        <v>9</v>
      </c>
      <c r="O9" s="30">
        <v>10</v>
      </c>
      <c r="P9" s="25" t="s">
        <v>21</v>
      </c>
      <c r="Q9" s="31" t="s">
        <v>22</v>
      </c>
      <c r="R9" s="32" t="s">
        <v>23</v>
      </c>
      <c r="S9" s="33">
        <v>1</v>
      </c>
      <c r="T9" s="29">
        <v>2</v>
      </c>
      <c r="U9" s="29">
        <v>3</v>
      </c>
      <c r="V9" s="29">
        <v>4</v>
      </c>
      <c r="W9" s="29">
        <v>5</v>
      </c>
      <c r="X9" s="29">
        <v>6</v>
      </c>
      <c r="Y9" s="29">
        <v>7</v>
      </c>
      <c r="Z9" s="29">
        <v>8</v>
      </c>
      <c r="AA9" s="29">
        <v>9</v>
      </c>
      <c r="AB9" s="30">
        <v>10</v>
      </c>
      <c r="AC9" s="25" t="s">
        <v>21</v>
      </c>
      <c r="AD9" s="31" t="s">
        <v>22</v>
      </c>
      <c r="AE9" s="32" t="s">
        <v>23</v>
      </c>
      <c r="AF9" s="34">
        <v>1</v>
      </c>
      <c r="AG9" s="31" t="s">
        <v>22</v>
      </c>
      <c r="AH9" s="32" t="s">
        <v>23</v>
      </c>
      <c r="AI9" s="223" t="s">
        <v>24</v>
      </c>
      <c r="AJ9" s="225" t="s">
        <v>24</v>
      </c>
      <c r="AK9" s="34"/>
      <c r="AL9" s="34"/>
      <c r="AM9" s="34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</row>
    <row r="10" spans="1:58" ht="18" customHeight="1" thickBot="1">
      <c r="A10" s="11"/>
      <c r="B10" s="227" t="s">
        <v>25</v>
      </c>
      <c r="C10" s="209"/>
      <c r="D10" s="209"/>
      <c r="E10" s="210"/>
      <c r="F10" s="36">
        <v>10</v>
      </c>
      <c r="G10" s="37">
        <v>10</v>
      </c>
      <c r="H10" s="37">
        <v>10</v>
      </c>
      <c r="I10" s="37">
        <v>10</v>
      </c>
      <c r="J10" s="37">
        <v>10</v>
      </c>
      <c r="K10" s="37">
        <v>10</v>
      </c>
      <c r="L10" s="37">
        <v>10</v>
      </c>
      <c r="M10" s="37">
        <v>10</v>
      </c>
      <c r="N10" s="37">
        <v>10</v>
      </c>
      <c r="O10" s="37">
        <v>10</v>
      </c>
      <c r="P10" s="38">
        <f>IF(COUNT($F10:$O10)=0,"",SUM($F10:$O10))</f>
        <v>100</v>
      </c>
      <c r="Q10" s="39">
        <v>100</v>
      </c>
      <c r="R10" s="40">
        <v>0.3</v>
      </c>
      <c r="S10" s="36">
        <v>10</v>
      </c>
      <c r="T10" s="36">
        <v>10</v>
      </c>
      <c r="U10" s="36">
        <v>10</v>
      </c>
      <c r="V10" s="36">
        <v>10</v>
      </c>
      <c r="W10" s="36">
        <v>10</v>
      </c>
      <c r="X10" s="36">
        <v>10</v>
      </c>
      <c r="Y10" s="36">
        <v>10</v>
      </c>
      <c r="Z10" s="36">
        <v>10</v>
      </c>
      <c r="AA10" s="36">
        <v>10</v>
      </c>
      <c r="AB10" s="36">
        <v>10</v>
      </c>
      <c r="AC10" s="38">
        <f>IF(COUNT($S10:$AB10)=0,"",SUM($S10:$AB10))</f>
        <v>100</v>
      </c>
      <c r="AD10" s="39">
        <v>100</v>
      </c>
      <c r="AE10" s="40">
        <v>0.5</v>
      </c>
      <c r="AF10" s="41">
        <v>30</v>
      </c>
      <c r="AG10" s="39">
        <v>100</v>
      </c>
      <c r="AH10" s="40">
        <v>0.2</v>
      </c>
      <c r="AI10" s="224"/>
      <c r="AJ10" s="226"/>
      <c r="AK10" s="12"/>
      <c r="AL10" s="42" t="s">
        <v>26</v>
      </c>
      <c r="AM10" s="43">
        <f>COUNTA(AF12:AF88)</f>
        <v>40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</row>
    <row r="11" spans="1:58" ht="18" customHeight="1" thickBot="1">
      <c r="A11" s="13"/>
      <c r="B11" s="208" t="s">
        <v>10</v>
      </c>
      <c r="C11" s="209"/>
      <c r="D11" s="209"/>
      <c r="E11" s="210"/>
      <c r="F11" s="44"/>
      <c r="G11" s="45"/>
      <c r="H11" s="45"/>
      <c r="I11" s="45"/>
      <c r="J11" s="45"/>
      <c r="K11" s="45"/>
      <c r="L11" s="45"/>
      <c r="M11" s="45"/>
      <c r="N11" s="45"/>
      <c r="O11" s="46"/>
      <c r="P11" s="47"/>
      <c r="Q11" s="48"/>
      <c r="R11" s="49"/>
      <c r="S11" s="50"/>
      <c r="T11" s="45"/>
      <c r="U11" s="45"/>
      <c r="V11" s="45"/>
      <c r="W11" s="45"/>
      <c r="X11" s="45"/>
      <c r="Y11" s="45"/>
      <c r="Z11" s="45"/>
      <c r="AA11" s="45"/>
      <c r="AB11" s="46"/>
      <c r="AC11" s="161"/>
      <c r="AD11" s="161"/>
      <c r="AE11" s="164"/>
      <c r="AF11" s="51"/>
      <c r="AG11" s="48"/>
      <c r="AH11" s="49"/>
      <c r="AI11" s="52"/>
      <c r="AJ11" s="53"/>
      <c r="AK11" s="12"/>
      <c r="AL11" s="54" t="s">
        <v>27</v>
      </c>
      <c r="AM11" s="55">
        <f>AF10</f>
        <v>30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</row>
    <row r="12" spans="1:58" ht="18" customHeight="1" thickBot="1">
      <c r="A12" s="133">
        <v>1</v>
      </c>
      <c r="B12" s="211" t="s">
        <v>102</v>
      </c>
      <c r="C12" s="212"/>
      <c r="D12" s="14"/>
      <c r="E12" s="15"/>
      <c r="F12" s="56">
        <v>6</v>
      </c>
      <c r="G12" s="56">
        <v>5</v>
      </c>
      <c r="H12" s="56">
        <v>5</v>
      </c>
      <c r="I12" s="56">
        <v>8</v>
      </c>
      <c r="J12" s="56">
        <v>4</v>
      </c>
      <c r="K12" s="56">
        <v>6</v>
      </c>
      <c r="L12" s="56">
        <v>6</v>
      </c>
      <c r="M12" s="56">
        <v>3</v>
      </c>
      <c r="N12" s="56">
        <v>4</v>
      </c>
      <c r="O12" s="56">
        <v>5</v>
      </c>
      <c r="P12" s="56">
        <f>SUM(F12:O12)</f>
        <v>52</v>
      </c>
      <c r="Q12" s="59">
        <f>IF(ISERROR(IF($P12="","",ROUND(($P12/$P$10)*$Q$10,2))),"",IF($P12="","",ROUND(($P12/$P$10)*$Q$10,2)))</f>
        <v>52</v>
      </c>
      <c r="R12" s="60">
        <f>IF($Q12="","",ROUND($Q12*$R$10,2))</f>
        <v>15.6</v>
      </c>
      <c r="S12" s="61">
        <v>10</v>
      </c>
      <c r="T12" s="57">
        <v>6</v>
      </c>
      <c r="U12" s="57">
        <v>4</v>
      </c>
      <c r="V12" s="57">
        <v>5</v>
      </c>
      <c r="W12" s="57">
        <v>10</v>
      </c>
      <c r="X12" s="57">
        <v>7</v>
      </c>
      <c r="Y12" s="57">
        <v>10</v>
      </c>
      <c r="Z12" s="57">
        <v>10</v>
      </c>
      <c r="AA12" s="57">
        <v>10</v>
      </c>
      <c r="AB12" s="57">
        <v>10</v>
      </c>
      <c r="AC12" s="162">
        <f t="shared" ref="AC12:AC31" si="0">IF(COUNT($S12:$AB12)=0,"",SUM($S12:$AB12))</f>
        <v>82</v>
      </c>
      <c r="AD12" s="165">
        <f t="shared" ref="AD12:AD31" si="1">IF(ISERROR(IF($AC12="","",ROUND(($AC12/$AC$10)*$AD$10,2))),"",IF($AC12="","",ROUND(($AC12/$AC$10)*$AD$10,2)))</f>
        <v>82</v>
      </c>
      <c r="AE12" s="165">
        <f t="shared" ref="AE12:AE31" si="2">IF($AD12="","",ROUND($AD12*$AE$10,2))</f>
        <v>41</v>
      </c>
      <c r="AF12" s="163">
        <v>26</v>
      </c>
      <c r="AG12" s="59">
        <f t="shared" ref="AG12:AG31" si="3">IF(ISERROR(IF($AF12="","",ROUND(($AF12/$AF$10)*$AG$10,2))),"",IF($AF12="","",ROUND(($AF12/$AF$10)*$AG$10,2)))</f>
        <v>86.67</v>
      </c>
      <c r="AH12" s="60">
        <f t="shared" ref="AH12:AH31" si="4">IF($AG12="","",ROUND($AG12*$AH$10,2))</f>
        <v>17.329999999999998</v>
      </c>
      <c r="AI12" s="62">
        <f t="shared" ref="AI12:AI31" si="5">IF(ISERROR(IF($AF12="","",ROUND(SUM($R12,$AE12,$AH12),2))),"",IF($AF12="","",ROUND(SUM($R12,$AE12,$AH12),2)))</f>
        <v>73.930000000000007</v>
      </c>
      <c r="AJ12" s="63">
        <f t="shared" ref="AJ12:AJ31" si="6">IF(ISERROR(IF($AF12="","",VLOOKUP(AI12,TRANSMUTATION_TABLE,4,TRUE))),"",IF($AF12="","",VLOOKUP(AI12,TRANSMUTATION_TABLE,4,TRUE)))</f>
        <v>83</v>
      </c>
      <c r="AK12" s="2"/>
      <c r="AL12" s="4"/>
      <c r="AM12" s="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>
        <f t="shared" ref="BF12:BF31" si="7">(AF12/$AF$10)*100</f>
        <v>86.666666666666671</v>
      </c>
    </row>
    <row r="13" spans="1:58" ht="18" customHeight="1" thickBot="1">
      <c r="A13" s="134">
        <v>2</v>
      </c>
      <c r="B13" s="206" t="s">
        <v>103</v>
      </c>
      <c r="C13" s="207"/>
      <c r="D13" s="64"/>
      <c r="E13" s="65"/>
      <c r="F13" s="56">
        <v>8</v>
      </c>
      <c r="G13" s="56">
        <v>8</v>
      </c>
      <c r="H13" s="56">
        <v>8</v>
      </c>
      <c r="I13" s="56">
        <v>4</v>
      </c>
      <c r="J13" s="56">
        <v>7</v>
      </c>
      <c r="K13" s="56">
        <v>4</v>
      </c>
      <c r="L13" s="56">
        <v>9</v>
      </c>
      <c r="M13" s="56">
        <v>8</v>
      </c>
      <c r="N13" s="56">
        <v>6</v>
      </c>
      <c r="O13" s="56">
        <v>4</v>
      </c>
      <c r="P13" s="56">
        <f t="shared" ref="P13:P31" si="8">SUM(F13:O13)</f>
        <v>66</v>
      </c>
      <c r="Q13" s="59">
        <f t="shared" ref="Q13:Q31" si="9">IF(ISERROR(IF($P13="","",ROUND(($P13/$P$10)*$Q$10,2))),"",IF($P13="","",ROUND(($P13/$P$10)*$Q$10,2)))</f>
        <v>66</v>
      </c>
      <c r="R13" s="60">
        <f>IF($Q13="","",ROUND($Q13*$R$10,2))</f>
        <v>19.8</v>
      </c>
      <c r="S13" s="61">
        <v>9</v>
      </c>
      <c r="T13" s="57">
        <v>8</v>
      </c>
      <c r="U13" s="57">
        <v>9</v>
      </c>
      <c r="V13" s="57">
        <v>8</v>
      </c>
      <c r="W13" s="57">
        <v>8</v>
      </c>
      <c r="X13" s="57">
        <v>9</v>
      </c>
      <c r="Y13" s="57">
        <v>6</v>
      </c>
      <c r="Z13" s="57">
        <v>5</v>
      </c>
      <c r="AA13" s="57">
        <v>4</v>
      </c>
      <c r="AB13" s="57">
        <v>9</v>
      </c>
      <c r="AC13" s="162">
        <f t="shared" si="0"/>
        <v>75</v>
      </c>
      <c r="AD13" s="165">
        <f t="shared" si="1"/>
        <v>75</v>
      </c>
      <c r="AE13" s="165">
        <f t="shared" si="2"/>
        <v>37.5</v>
      </c>
      <c r="AF13" s="163">
        <v>27</v>
      </c>
      <c r="AG13" s="59">
        <f t="shared" si="3"/>
        <v>90</v>
      </c>
      <c r="AH13" s="60">
        <f t="shared" si="4"/>
        <v>18</v>
      </c>
      <c r="AI13" s="62">
        <f t="shared" si="5"/>
        <v>75.3</v>
      </c>
      <c r="AJ13" s="63">
        <f t="shared" si="6"/>
        <v>84</v>
      </c>
      <c r="AK13" s="2"/>
      <c r="AL13" s="213" t="s">
        <v>28</v>
      </c>
      <c r="AM13" s="214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>
        <f t="shared" si="7"/>
        <v>90</v>
      </c>
    </row>
    <row r="14" spans="1:58" ht="18" customHeight="1">
      <c r="A14" s="134">
        <v>3</v>
      </c>
      <c r="B14" s="206" t="s">
        <v>104</v>
      </c>
      <c r="C14" s="207"/>
      <c r="D14" s="64"/>
      <c r="E14" s="65"/>
      <c r="F14" s="56">
        <v>6</v>
      </c>
      <c r="G14" s="56">
        <v>8</v>
      </c>
      <c r="H14" s="56">
        <v>8</v>
      </c>
      <c r="I14" s="56">
        <v>8</v>
      </c>
      <c r="J14" s="56">
        <v>8</v>
      </c>
      <c r="K14" s="56">
        <v>10</v>
      </c>
      <c r="L14" s="56">
        <v>10</v>
      </c>
      <c r="M14" s="56">
        <v>6</v>
      </c>
      <c r="N14" s="56">
        <v>10</v>
      </c>
      <c r="O14" s="56">
        <v>6</v>
      </c>
      <c r="P14" s="56">
        <f t="shared" si="8"/>
        <v>80</v>
      </c>
      <c r="Q14" s="59">
        <f t="shared" si="9"/>
        <v>80</v>
      </c>
      <c r="R14" s="60">
        <f t="shared" ref="R14:R31" si="10">IF($Q14="","",ROUND($Q14*$R$10,2))</f>
        <v>24</v>
      </c>
      <c r="S14" s="61">
        <v>8</v>
      </c>
      <c r="T14" s="57">
        <v>5</v>
      </c>
      <c r="U14" s="57">
        <v>4</v>
      </c>
      <c r="V14" s="57">
        <v>6</v>
      </c>
      <c r="W14" s="57">
        <v>10</v>
      </c>
      <c r="X14" s="57">
        <v>4</v>
      </c>
      <c r="Y14" s="57">
        <v>8</v>
      </c>
      <c r="Z14" s="57">
        <v>5</v>
      </c>
      <c r="AA14" s="57">
        <v>6</v>
      </c>
      <c r="AB14" s="57">
        <v>7</v>
      </c>
      <c r="AC14" s="162">
        <f t="shared" si="0"/>
        <v>63</v>
      </c>
      <c r="AD14" s="165">
        <f t="shared" si="1"/>
        <v>63</v>
      </c>
      <c r="AE14" s="165">
        <f t="shared" si="2"/>
        <v>31.5</v>
      </c>
      <c r="AF14" s="163">
        <v>26</v>
      </c>
      <c r="AG14" s="59">
        <f t="shared" si="3"/>
        <v>86.67</v>
      </c>
      <c r="AH14" s="60">
        <f t="shared" si="4"/>
        <v>17.329999999999998</v>
      </c>
      <c r="AI14" s="62">
        <f t="shared" si="5"/>
        <v>72.83</v>
      </c>
      <c r="AJ14" s="63">
        <f t="shared" si="6"/>
        <v>83</v>
      </c>
      <c r="AK14" s="2"/>
      <c r="AL14" s="66" t="s">
        <v>29</v>
      </c>
      <c r="AM14" s="67">
        <f>COUNTIF(BF12:BF58,"&gt;=75")</f>
        <v>22</v>
      </c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>
        <f t="shared" si="7"/>
        <v>86.666666666666671</v>
      </c>
    </row>
    <row r="15" spans="1:58" ht="18" customHeight="1">
      <c r="A15" s="134">
        <v>4</v>
      </c>
      <c r="B15" s="206" t="s">
        <v>105</v>
      </c>
      <c r="C15" s="207"/>
      <c r="D15" s="64"/>
      <c r="E15" s="65"/>
      <c r="F15" s="56">
        <v>6</v>
      </c>
      <c r="G15" s="56">
        <v>5</v>
      </c>
      <c r="H15" s="56">
        <v>5</v>
      </c>
      <c r="I15" s="56">
        <v>5</v>
      </c>
      <c r="J15" s="56">
        <v>8</v>
      </c>
      <c r="K15" s="56">
        <v>6</v>
      </c>
      <c r="L15" s="56">
        <v>9</v>
      </c>
      <c r="M15" s="56">
        <v>5</v>
      </c>
      <c r="N15" s="56">
        <v>4</v>
      </c>
      <c r="O15" s="56">
        <v>7</v>
      </c>
      <c r="P15" s="56">
        <f t="shared" si="8"/>
        <v>60</v>
      </c>
      <c r="Q15" s="59">
        <f t="shared" si="9"/>
        <v>60</v>
      </c>
      <c r="R15" s="130">
        <f t="shared" si="10"/>
        <v>18</v>
      </c>
      <c r="S15" s="61">
        <v>6</v>
      </c>
      <c r="T15" s="57">
        <v>6</v>
      </c>
      <c r="U15" s="57">
        <v>9</v>
      </c>
      <c r="V15" s="57">
        <v>8</v>
      </c>
      <c r="W15" s="57">
        <v>6</v>
      </c>
      <c r="X15" s="57">
        <v>8</v>
      </c>
      <c r="Y15" s="57">
        <v>6</v>
      </c>
      <c r="Z15" s="57">
        <v>10</v>
      </c>
      <c r="AA15" s="57">
        <v>6</v>
      </c>
      <c r="AB15" s="57">
        <v>8</v>
      </c>
      <c r="AC15" s="162">
        <f t="shared" si="0"/>
        <v>73</v>
      </c>
      <c r="AD15" s="165">
        <f t="shared" si="1"/>
        <v>73</v>
      </c>
      <c r="AE15" s="165">
        <f t="shared" si="2"/>
        <v>36.5</v>
      </c>
      <c r="AF15" s="163">
        <v>15</v>
      </c>
      <c r="AG15" s="59">
        <f t="shared" si="3"/>
        <v>50</v>
      </c>
      <c r="AH15" s="60">
        <f t="shared" si="4"/>
        <v>10</v>
      </c>
      <c r="AI15" s="62">
        <f t="shared" si="5"/>
        <v>64.5</v>
      </c>
      <c r="AJ15" s="63">
        <f t="shared" si="6"/>
        <v>77</v>
      </c>
      <c r="AK15" s="2"/>
      <c r="AL15" s="68" t="s">
        <v>30</v>
      </c>
      <c r="AM15" s="69">
        <f>AM14/AM10</f>
        <v>0.55000000000000004</v>
      </c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>
        <f t="shared" si="7"/>
        <v>50</v>
      </c>
    </row>
    <row r="16" spans="1:58" ht="18" customHeight="1">
      <c r="A16" s="134">
        <v>5</v>
      </c>
      <c r="B16" s="206" t="s">
        <v>106</v>
      </c>
      <c r="C16" s="207"/>
      <c r="D16" s="64"/>
      <c r="E16" s="65"/>
      <c r="F16" s="56">
        <v>5</v>
      </c>
      <c r="G16" s="56">
        <v>5</v>
      </c>
      <c r="H16" s="56">
        <v>5</v>
      </c>
      <c r="I16" s="56">
        <v>6</v>
      </c>
      <c r="J16" s="56">
        <v>5</v>
      </c>
      <c r="K16" s="56">
        <v>6</v>
      </c>
      <c r="L16" s="56">
        <v>5</v>
      </c>
      <c r="M16" s="56">
        <v>6</v>
      </c>
      <c r="N16" s="56">
        <v>5</v>
      </c>
      <c r="O16" s="56">
        <v>4</v>
      </c>
      <c r="P16" s="56">
        <f t="shared" si="8"/>
        <v>52</v>
      </c>
      <c r="Q16" s="196">
        <f t="shared" si="9"/>
        <v>52</v>
      </c>
      <c r="R16" s="165">
        <f t="shared" si="10"/>
        <v>15.6</v>
      </c>
      <c r="S16" s="61">
        <v>6</v>
      </c>
      <c r="T16" s="57">
        <v>6</v>
      </c>
      <c r="U16" s="57">
        <v>7</v>
      </c>
      <c r="V16" s="57">
        <v>6</v>
      </c>
      <c r="W16" s="57">
        <v>8</v>
      </c>
      <c r="X16" s="57">
        <v>8</v>
      </c>
      <c r="Y16" s="57">
        <v>8</v>
      </c>
      <c r="Z16" s="57">
        <v>8</v>
      </c>
      <c r="AA16" s="57">
        <v>8</v>
      </c>
      <c r="AB16" s="57">
        <v>8</v>
      </c>
      <c r="AC16" s="162">
        <f t="shared" si="0"/>
        <v>73</v>
      </c>
      <c r="AD16" s="165">
        <f t="shared" si="1"/>
        <v>73</v>
      </c>
      <c r="AE16" s="165">
        <f t="shared" si="2"/>
        <v>36.5</v>
      </c>
      <c r="AF16" s="163">
        <v>21</v>
      </c>
      <c r="AG16" s="59">
        <f t="shared" si="3"/>
        <v>70</v>
      </c>
      <c r="AH16" s="60">
        <f t="shared" si="4"/>
        <v>14</v>
      </c>
      <c r="AI16" s="62">
        <f t="shared" si="5"/>
        <v>66.099999999999994</v>
      </c>
      <c r="AJ16" s="63">
        <f t="shared" si="6"/>
        <v>78</v>
      </c>
      <c r="AK16" s="2"/>
      <c r="AL16" s="68" t="s">
        <v>31</v>
      </c>
      <c r="AM16" s="70">
        <f>AM10-AM14</f>
        <v>18</v>
      </c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>
        <f t="shared" si="7"/>
        <v>70</v>
      </c>
    </row>
    <row r="17" spans="1:58" ht="18" customHeight="1" thickBot="1">
      <c r="A17" s="134">
        <v>6</v>
      </c>
      <c r="B17" s="206" t="s">
        <v>107</v>
      </c>
      <c r="C17" s="207"/>
      <c r="D17" s="64"/>
      <c r="E17" s="65"/>
      <c r="F17" s="56">
        <v>9</v>
      </c>
      <c r="G17" s="56">
        <v>9</v>
      </c>
      <c r="H17" s="56">
        <v>8</v>
      </c>
      <c r="I17" s="56">
        <v>6</v>
      </c>
      <c r="J17" s="56">
        <v>6</v>
      </c>
      <c r="K17" s="56">
        <v>7</v>
      </c>
      <c r="L17" s="56">
        <v>8</v>
      </c>
      <c r="M17" s="56">
        <v>8</v>
      </c>
      <c r="N17" s="56">
        <v>9</v>
      </c>
      <c r="O17" s="56">
        <v>8</v>
      </c>
      <c r="P17" s="56">
        <f t="shared" si="8"/>
        <v>78</v>
      </c>
      <c r="Q17" s="59">
        <f t="shared" si="9"/>
        <v>78</v>
      </c>
      <c r="R17" s="60">
        <f t="shared" si="10"/>
        <v>23.4</v>
      </c>
      <c r="S17" s="197">
        <v>9</v>
      </c>
      <c r="T17" s="57">
        <v>8</v>
      </c>
      <c r="U17" s="57">
        <v>9</v>
      </c>
      <c r="V17" s="57">
        <v>8</v>
      </c>
      <c r="W17" s="57">
        <v>9</v>
      </c>
      <c r="X17" s="57">
        <v>10</v>
      </c>
      <c r="Y17" s="57">
        <v>6</v>
      </c>
      <c r="Z17" s="57">
        <v>10</v>
      </c>
      <c r="AA17" s="57">
        <v>10</v>
      </c>
      <c r="AB17" s="57">
        <v>8</v>
      </c>
      <c r="AC17" s="162">
        <f t="shared" si="0"/>
        <v>87</v>
      </c>
      <c r="AD17" s="165">
        <f t="shared" si="1"/>
        <v>87</v>
      </c>
      <c r="AE17" s="165">
        <f t="shared" si="2"/>
        <v>43.5</v>
      </c>
      <c r="AF17" s="163">
        <v>23</v>
      </c>
      <c r="AG17" s="59">
        <f t="shared" si="3"/>
        <v>76.67</v>
      </c>
      <c r="AH17" s="60">
        <f t="shared" si="4"/>
        <v>15.33</v>
      </c>
      <c r="AI17" s="62">
        <f t="shared" si="5"/>
        <v>82.23</v>
      </c>
      <c r="AJ17" s="63">
        <f t="shared" si="6"/>
        <v>88</v>
      </c>
      <c r="AK17" s="2"/>
      <c r="AL17" s="71" t="s">
        <v>30</v>
      </c>
      <c r="AM17" s="72">
        <f>1-AM15</f>
        <v>0.44999999999999996</v>
      </c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>
        <f t="shared" si="7"/>
        <v>76.666666666666671</v>
      </c>
    </row>
    <row r="18" spans="1:58" ht="18" customHeight="1" thickBot="1">
      <c r="A18" s="134">
        <v>7</v>
      </c>
      <c r="B18" s="206" t="s">
        <v>108</v>
      </c>
      <c r="C18" s="207"/>
      <c r="D18" s="64">
        <v>0</v>
      </c>
      <c r="E18" s="65"/>
      <c r="F18" s="56">
        <v>5</v>
      </c>
      <c r="G18" s="56">
        <v>8</v>
      </c>
      <c r="H18" s="56">
        <v>8</v>
      </c>
      <c r="I18" s="56">
        <v>5</v>
      </c>
      <c r="J18" s="56">
        <v>6</v>
      </c>
      <c r="K18" s="56">
        <v>4</v>
      </c>
      <c r="L18" s="56">
        <v>6</v>
      </c>
      <c r="M18" s="56">
        <v>5</v>
      </c>
      <c r="N18" s="56">
        <v>4</v>
      </c>
      <c r="O18" s="56">
        <v>6</v>
      </c>
      <c r="P18" s="56">
        <f t="shared" si="8"/>
        <v>57</v>
      </c>
      <c r="Q18" s="59">
        <f t="shared" si="9"/>
        <v>57</v>
      </c>
      <c r="R18" s="60">
        <f t="shared" si="10"/>
        <v>17.100000000000001</v>
      </c>
      <c r="S18" s="61">
        <v>8</v>
      </c>
      <c r="T18" s="57">
        <v>8</v>
      </c>
      <c r="U18" s="57">
        <v>8</v>
      </c>
      <c r="V18" s="57">
        <v>8</v>
      </c>
      <c r="W18" s="57">
        <v>6</v>
      </c>
      <c r="X18" s="57">
        <v>6</v>
      </c>
      <c r="Y18" s="57">
        <v>6</v>
      </c>
      <c r="Z18" s="57">
        <v>6</v>
      </c>
      <c r="AA18" s="57">
        <v>6</v>
      </c>
      <c r="AB18" s="57">
        <v>5</v>
      </c>
      <c r="AC18" s="162">
        <f t="shared" si="0"/>
        <v>67</v>
      </c>
      <c r="AD18" s="165">
        <f t="shared" si="1"/>
        <v>67</v>
      </c>
      <c r="AE18" s="165">
        <f t="shared" si="2"/>
        <v>33.5</v>
      </c>
      <c r="AF18" s="163">
        <v>20</v>
      </c>
      <c r="AG18" s="59">
        <f t="shared" si="3"/>
        <v>66.67</v>
      </c>
      <c r="AH18" s="60">
        <f t="shared" si="4"/>
        <v>13.33</v>
      </c>
      <c r="AI18" s="62">
        <f t="shared" si="5"/>
        <v>63.93</v>
      </c>
      <c r="AJ18" s="63">
        <f t="shared" si="6"/>
        <v>77</v>
      </c>
      <c r="AK18" s="2"/>
      <c r="AL18" s="4"/>
      <c r="AM18" s="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>
        <f t="shared" si="7"/>
        <v>66.666666666666657</v>
      </c>
    </row>
    <row r="19" spans="1:58" ht="18" customHeight="1" thickBot="1">
      <c r="A19" s="134">
        <v>8</v>
      </c>
      <c r="B19" s="206" t="s">
        <v>109</v>
      </c>
      <c r="C19" s="207"/>
      <c r="D19" s="64"/>
      <c r="E19" s="65"/>
      <c r="F19" s="56">
        <v>5</v>
      </c>
      <c r="G19" s="56">
        <v>5</v>
      </c>
      <c r="H19" s="56">
        <v>5</v>
      </c>
      <c r="I19" s="56">
        <v>5</v>
      </c>
      <c r="J19" s="56">
        <v>6</v>
      </c>
      <c r="K19" s="56">
        <v>6</v>
      </c>
      <c r="L19" s="56">
        <v>5</v>
      </c>
      <c r="M19" s="56">
        <v>6</v>
      </c>
      <c r="N19" s="56">
        <v>5</v>
      </c>
      <c r="O19" s="56">
        <v>6</v>
      </c>
      <c r="P19" s="56">
        <f t="shared" si="8"/>
        <v>54</v>
      </c>
      <c r="Q19" s="59">
        <f t="shared" si="9"/>
        <v>54</v>
      </c>
      <c r="R19" s="60">
        <f t="shared" si="10"/>
        <v>16.2</v>
      </c>
      <c r="S19" s="61">
        <v>7</v>
      </c>
      <c r="T19" s="57">
        <v>8</v>
      </c>
      <c r="U19" s="57">
        <v>6</v>
      </c>
      <c r="V19" s="57">
        <v>6</v>
      </c>
      <c r="W19" s="57">
        <v>5</v>
      </c>
      <c r="X19" s="57">
        <v>5</v>
      </c>
      <c r="Y19" s="57">
        <v>5</v>
      </c>
      <c r="Z19" s="57">
        <v>9</v>
      </c>
      <c r="AA19" s="57">
        <v>8</v>
      </c>
      <c r="AB19" s="57">
        <v>5</v>
      </c>
      <c r="AC19" s="162">
        <f t="shared" si="0"/>
        <v>64</v>
      </c>
      <c r="AD19" s="165">
        <f t="shared" si="1"/>
        <v>64</v>
      </c>
      <c r="AE19" s="165">
        <f t="shared" si="2"/>
        <v>32</v>
      </c>
      <c r="AF19" s="163">
        <v>29</v>
      </c>
      <c r="AG19" s="59">
        <f t="shared" si="3"/>
        <v>96.67</v>
      </c>
      <c r="AH19" s="60">
        <f t="shared" si="4"/>
        <v>19.329999999999998</v>
      </c>
      <c r="AI19" s="62">
        <f t="shared" si="5"/>
        <v>67.53</v>
      </c>
      <c r="AJ19" s="63">
        <f t="shared" si="6"/>
        <v>79</v>
      </c>
      <c r="AK19" s="2"/>
      <c r="AL19" s="73" t="s">
        <v>32</v>
      </c>
      <c r="AM19" s="74" t="s">
        <v>33</v>
      </c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>
        <f t="shared" si="7"/>
        <v>96.666666666666671</v>
      </c>
    </row>
    <row r="20" spans="1:58" ht="18" customHeight="1">
      <c r="A20" s="134">
        <v>9</v>
      </c>
      <c r="B20" s="206" t="s">
        <v>110</v>
      </c>
      <c r="C20" s="207"/>
      <c r="D20" s="64">
        <v>0</v>
      </c>
      <c r="E20" s="65"/>
      <c r="F20" s="56">
        <v>5</v>
      </c>
      <c r="G20" s="56">
        <v>6</v>
      </c>
      <c r="H20" s="56">
        <v>7</v>
      </c>
      <c r="I20" s="56">
        <v>6</v>
      </c>
      <c r="J20" s="56">
        <v>7</v>
      </c>
      <c r="K20" s="56">
        <v>8</v>
      </c>
      <c r="L20" s="56">
        <v>9</v>
      </c>
      <c r="M20" s="56">
        <v>8</v>
      </c>
      <c r="N20" s="56">
        <v>5</v>
      </c>
      <c r="O20" s="56">
        <v>9</v>
      </c>
      <c r="P20" s="56">
        <f t="shared" si="8"/>
        <v>70</v>
      </c>
      <c r="Q20" s="59">
        <f t="shared" si="9"/>
        <v>70</v>
      </c>
      <c r="R20" s="60">
        <f t="shared" si="10"/>
        <v>21</v>
      </c>
      <c r="S20" s="61">
        <v>9</v>
      </c>
      <c r="T20" s="57">
        <v>5</v>
      </c>
      <c r="U20" s="57">
        <v>8</v>
      </c>
      <c r="V20" s="57">
        <v>8</v>
      </c>
      <c r="W20" s="57">
        <v>9</v>
      </c>
      <c r="X20" s="57">
        <v>8</v>
      </c>
      <c r="Y20" s="57">
        <v>7</v>
      </c>
      <c r="Z20" s="57">
        <v>7</v>
      </c>
      <c r="AA20" s="57">
        <v>9</v>
      </c>
      <c r="AB20" s="57">
        <v>7</v>
      </c>
      <c r="AC20" s="162">
        <f t="shared" si="0"/>
        <v>77</v>
      </c>
      <c r="AD20" s="165">
        <f t="shared" si="1"/>
        <v>77</v>
      </c>
      <c r="AE20" s="165">
        <f t="shared" si="2"/>
        <v>38.5</v>
      </c>
      <c r="AF20" s="163">
        <v>23</v>
      </c>
      <c r="AG20" s="59">
        <f t="shared" si="3"/>
        <v>76.67</v>
      </c>
      <c r="AH20" s="60">
        <f t="shared" si="4"/>
        <v>15.33</v>
      </c>
      <c r="AI20" s="62">
        <f t="shared" si="5"/>
        <v>74.83</v>
      </c>
      <c r="AJ20" s="63">
        <f t="shared" si="6"/>
        <v>84</v>
      </c>
      <c r="AK20" s="2"/>
      <c r="AL20" s="66" t="s">
        <v>34</v>
      </c>
      <c r="AM20" s="75">
        <f>AVERAGE(AF12:AF52)</f>
        <v>23.175000000000001</v>
      </c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>
        <f t="shared" si="7"/>
        <v>76.666666666666671</v>
      </c>
    </row>
    <row r="21" spans="1:58" ht="18" customHeight="1">
      <c r="A21" s="134">
        <v>10</v>
      </c>
      <c r="B21" s="206" t="s">
        <v>111</v>
      </c>
      <c r="C21" s="207"/>
      <c r="D21" s="64"/>
      <c r="E21" s="65"/>
      <c r="F21" s="56">
        <v>5</v>
      </c>
      <c r="G21" s="56">
        <v>6</v>
      </c>
      <c r="H21" s="56">
        <v>7</v>
      </c>
      <c r="I21" s="56">
        <v>6</v>
      </c>
      <c r="J21" s="56">
        <v>6</v>
      </c>
      <c r="K21" s="56">
        <v>6</v>
      </c>
      <c r="L21" s="56">
        <v>6</v>
      </c>
      <c r="M21" s="56">
        <v>8</v>
      </c>
      <c r="N21" s="56">
        <v>6</v>
      </c>
      <c r="O21" s="56">
        <v>9</v>
      </c>
      <c r="P21" s="56">
        <f t="shared" si="8"/>
        <v>65</v>
      </c>
      <c r="Q21" s="59">
        <f t="shared" si="9"/>
        <v>65</v>
      </c>
      <c r="R21" s="60">
        <f t="shared" si="10"/>
        <v>19.5</v>
      </c>
      <c r="S21" s="61">
        <v>9</v>
      </c>
      <c r="T21" s="57">
        <v>5</v>
      </c>
      <c r="U21" s="57">
        <v>8</v>
      </c>
      <c r="V21" s="57">
        <v>8</v>
      </c>
      <c r="W21" s="57">
        <v>10</v>
      </c>
      <c r="X21" s="57">
        <v>10</v>
      </c>
      <c r="Y21" s="57">
        <v>7</v>
      </c>
      <c r="Z21" s="57">
        <v>7</v>
      </c>
      <c r="AA21" s="57">
        <v>10</v>
      </c>
      <c r="AB21" s="57">
        <v>7</v>
      </c>
      <c r="AC21" s="162">
        <f t="shared" si="0"/>
        <v>81</v>
      </c>
      <c r="AD21" s="165">
        <f t="shared" si="1"/>
        <v>81</v>
      </c>
      <c r="AE21" s="165">
        <f t="shared" si="2"/>
        <v>40.5</v>
      </c>
      <c r="AF21" s="163">
        <v>22</v>
      </c>
      <c r="AG21" s="59">
        <f t="shared" si="3"/>
        <v>73.33</v>
      </c>
      <c r="AH21" s="60">
        <f t="shared" si="4"/>
        <v>14.67</v>
      </c>
      <c r="AI21" s="62">
        <f t="shared" si="5"/>
        <v>74.67</v>
      </c>
      <c r="AJ21" s="63">
        <f t="shared" si="6"/>
        <v>84</v>
      </c>
      <c r="AK21" s="2"/>
      <c r="AL21" s="68" t="s">
        <v>35</v>
      </c>
      <c r="AM21" s="70">
        <f>MEDIAN(AF12:AF52)</f>
        <v>23.5</v>
      </c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>
        <f t="shared" si="7"/>
        <v>73.333333333333329</v>
      </c>
    </row>
    <row r="22" spans="1:58" ht="18" customHeight="1">
      <c r="A22" s="134">
        <v>11</v>
      </c>
      <c r="B22" s="206" t="s">
        <v>112</v>
      </c>
      <c r="C22" s="207"/>
      <c r="D22" s="64"/>
      <c r="E22" s="65"/>
      <c r="F22" s="56">
        <v>6</v>
      </c>
      <c r="G22" s="56">
        <v>8</v>
      </c>
      <c r="H22" s="56">
        <v>8</v>
      </c>
      <c r="I22" s="56">
        <v>8</v>
      </c>
      <c r="J22" s="56">
        <v>7</v>
      </c>
      <c r="K22" s="56">
        <v>8</v>
      </c>
      <c r="L22" s="56">
        <v>9</v>
      </c>
      <c r="M22" s="56">
        <v>8</v>
      </c>
      <c r="N22" s="56">
        <v>5</v>
      </c>
      <c r="O22" s="56">
        <v>9</v>
      </c>
      <c r="P22" s="56">
        <f t="shared" si="8"/>
        <v>76</v>
      </c>
      <c r="Q22" s="59">
        <f t="shared" si="9"/>
        <v>76</v>
      </c>
      <c r="R22" s="60">
        <f t="shared" si="10"/>
        <v>22.8</v>
      </c>
      <c r="S22" s="61">
        <v>9</v>
      </c>
      <c r="T22" s="57">
        <v>5</v>
      </c>
      <c r="U22" s="57">
        <v>8</v>
      </c>
      <c r="V22" s="57">
        <v>8</v>
      </c>
      <c r="W22" s="57">
        <v>8</v>
      </c>
      <c r="X22" s="57">
        <v>8</v>
      </c>
      <c r="Y22" s="57">
        <v>9</v>
      </c>
      <c r="Z22" s="57">
        <v>8</v>
      </c>
      <c r="AA22" s="57">
        <v>9</v>
      </c>
      <c r="AB22" s="57">
        <v>7</v>
      </c>
      <c r="AC22" s="162">
        <f t="shared" si="0"/>
        <v>79</v>
      </c>
      <c r="AD22" s="165">
        <f t="shared" si="1"/>
        <v>79</v>
      </c>
      <c r="AE22" s="165">
        <f t="shared" si="2"/>
        <v>39.5</v>
      </c>
      <c r="AF22" s="163">
        <v>25</v>
      </c>
      <c r="AG22" s="59">
        <f t="shared" si="3"/>
        <v>83.33</v>
      </c>
      <c r="AH22" s="60">
        <f t="shared" si="4"/>
        <v>16.670000000000002</v>
      </c>
      <c r="AI22" s="62">
        <f t="shared" si="5"/>
        <v>78.97</v>
      </c>
      <c r="AJ22" s="63">
        <f t="shared" si="6"/>
        <v>86</v>
      </c>
      <c r="AK22" s="2"/>
      <c r="AL22" s="68" t="s">
        <v>36</v>
      </c>
      <c r="AM22" s="76">
        <f>_xlfn.STDEV.S(AF12:AF52)</f>
        <v>3.8289551363129699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12">
        <f t="shared" si="7"/>
        <v>83.333333333333343</v>
      </c>
    </row>
    <row r="23" spans="1:58" ht="18" customHeight="1" thickBot="1">
      <c r="A23" s="134">
        <v>12</v>
      </c>
      <c r="B23" s="206" t="s">
        <v>113</v>
      </c>
      <c r="C23" s="207"/>
      <c r="D23" s="64"/>
      <c r="E23" s="65"/>
      <c r="F23" s="56">
        <v>5</v>
      </c>
      <c r="G23" s="56">
        <v>6</v>
      </c>
      <c r="H23" s="56">
        <v>7</v>
      </c>
      <c r="I23" s="56">
        <v>6</v>
      </c>
      <c r="J23" s="56">
        <v>7</v>
      </c>
      <c r="K23" s="56">
        <v>7</v>
      </c>
      <c r="L23" s="56">
        <v>7</v>
      </c>
      <c r="M23" s="56">
        <v>6</v>
      </c>
      <c r="N23" s="56">
        <v>6</v>
      </c>
      <c r="O23" s="56">
        <v>5</v>
      </c>
      <c r="P23" s="56">
        <f t="shared" si="8"/>
        <v>62</v>
      </c>
      <c r="Q23" s="59">
        <f t="shared" si="9"/>
        <v>62</v>
      </c>
      <c r="R23" s="60">
        <f t="shared" si="10"/>
        <v>18.600000000000001</v>
      </c>
      <c r="S23" s="61">
        <v>6</v>
      </c>
      <c r="T23" s="57">
        <v>5</v>
      </c>
      <c r="U23" s="57">
        <v>8</v>
      </c>
      <c r="V23" s="57">
        <v>8</v>
      </c>
      <c r="W23" s="57">
        <v>6</v>
      </c>
      <c r="X23" s="57">
        <v>8</v>
      </c>
      <c r="Y23" s="57">
        <v>7</v>
      </c>
      <c r="Z23" s="57">
        <v>6</v>
      </c>
      <c r="AA23" s="57">
        <v>6</v>
      </c>
      <c r="AB23" s="57">
        <v>7</v>
      </c>
      <c r="AC23" s="162">
        <f t="shared" si="0"/>
        <v>67</v>
      </c>
      <c r="AD23" s="165">
        <f t="shared" si="1"/>
        <v>67</v>
      </c>
      <c r="AE23" s="165">
        <f t="shared" si="2"/>
        <v>33.5</v>
      </c>
      <c r="AF23" s="163">
        <v>22</v>
      </c>
      <c r="AG23" s="59">
        <f t="shared" si="3"/>
        <v>73.33</v>
      </c>
      <c r="AH23" s="60">
        <f t="shared" si="4"/>
        <v>14.67</v>
      </c>
      <c r="AI23" s="62">
        <f t="shared" si="5"/>
        <v>66.77</v>
      </c>
      <c r="AJ23" s="63">
        <f t="shared" si="6"/>
        <v>79</v>
      </c>
      <c r="AK23" s="2"/>
      <c r="AL23" s="71" t="s">
        <v>37</v>
      </c>
      <c r="AM23" s="72">
        <f>AM20/AM11</f>
        <v>0.77250000000000008</v>
      </c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2">
        <f t="shared" si="7"/>
        <v>73.333333333333329</v>
      </c>
    </row>
    <row r="24" spans="1:58" ht="18" customHeight="1" thickBot="1">
      <c r="A24" s="134">
        <v>13</v>
      </c>
      <c r="B24" s="206" t="s">
        <v>114</v>
      </c>
      <c r="C24" s="207"/>
      <c r="D24" s="64"/>
      <c r="E24" s="65"/>
      <c r="F24" s="56">
        <v>6</v>
      </c>
      <c r="G24" s="56">
        <v>7</v>
      </c>
      <c r="H24" s="56">
        <v>7</v>
      </c>
      <c r="I24" s="56">
        <v>6</v>
      </c>
      <c r="J24" s="56">
        <v>7</v>
      </c>
      <c r="K24" s="56">
        <v>8</v>
      </c>
      <c r="L24" s="56">
        <v>9</v>
      </c>
      <c r="M24" s="56">
        <v>8</v>
      </c>
      <c r="N24" s="56">
        <v>5</v>
      </c>
      <c r="O24" s="56">
        <v>9</v>
      </c>
      <c r="P24" s="56">
        <f t="shared" si="8"/>
        <v>72</v>
      </c>
      <c r="Q24" s="59">
        <f t="shared" si="9"/>
        <v>72</v>
      </c>
      <c r="R24" s="60">
        <f t="shared" si="10"/>
        <v>21.6</v>
      </c>
      <c r="S24" s="61">
        <v>10</v>
      </c>
      <c r="T24" s="57">
        <v>10</v>
      </c>
      <c r="U24" s="57">
        <v>8</v>
      </c>
      <c r="V24" s="57">
        <v>8</v>
      </c>
      <c r="W24" s="57">
        <v>9</v>
      </c>
      <c r="X24" s="57">
        <v>8</v>
      </c>
      <c r="Y24" s="57">
        <v>7</v>
      </c>
      <c r="Z24" s="57">
        <v>7</v>
      </c>
      <c r="AA24" s="57">
        <v>9</v>
      </c>
      <c r="AB24" s="57">
        <v>7</v>
      </c>
      <c r="AC24" s="162">
        <f t="shared" si="0"/>
        <v>83</v>
      </c>
      <c r="AD24" s="165">
        <f t="shared" si="1"/>
        <v>83</v>
      </c>
      <c r="AE24" s="165">
        <f t="shared" si="2"/>
        <v>41.5</v>
      </c>
      <c r="AF24" s="163">
        <v>22</v>
      </c>
      <c r="AG24" s="59">
        <f t="shared" si="3"/>
        <v>73.33</v>
      </c>
      <c r="AH24" s="60">
        <f t="shared" si="4"/>
        <v>14.67</v>
      </c>
      <c r="AI24" s="62">
        <f t="shared" si="5"/>
        <v>77.77</v>
      </c>
      <c r="AJ24" s="63">
        <f t="shared" si="6"/>
        <v>86</v>
      </c>
      <c r="AK24" s="2"/>
      <c r="AL24" s="4"/>
      <c r="AM24" s="2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2">
        <f t="shared" si="7"/>
        <v>73.333333333333329</v>
      </c>
    </row>
    <row r="25" spans="1:58" ht="18" customHeight="1" thickBot="1">
      <c r="A25" s="134">
        <v>14</v>
      </c>
      <c r="B25" s="206" t="s">
        <v>115</v>
      </c>
      <c r="C25" s="207"/>
      <c r="D25" s="64"/>
      <c r="E25" s="65"/>
      <c r="F25" s="56">
        <v>6</v>
      </c>
      <c r="G25" s="56">
        <v>6</v>
      </c>
      <c r="H25" s="56">
        <v>6</v>
      </c>
      <c r="I25" s="56">
        <v>6</v>
      </c>
      <c r="J25" s="56">
        <v>6</v>
      </c>
      <c r="K25" s="56">
        <v>6</v>
      </c>
      <c r="L25" s="56">
        <v>6</v>
      </c>
      <c r="M25" s="56">
        <v>8</v>
      </c>
      <c r="N25" s="56">
        <v>5</v>
      </c>
      <c r="O25" s="56">
        <v>9</v>
      </c>
      <c r="P25" s="56">
        <f t="shared" si="8"/>
        <v>64</v>
      </c>
      <c r="Q25" s="59">
        <f t="shared" si="9"/>
        <v>64</v>
      </c>
      <c r="R25" s="60">
        <f t="shared" si="10"/>
        <v>19.2</v>
      </c>
      <c r="S25" s="61">
        <v>6</v>
      </c>
      <c r="T25" s="57">
        <v>8</v>
      </c>
      <c r="U25" s="57">
        <v>6</v>
      </c>
      <c r="V25" s="57">
        <v>6</v>
      </c>
      <c r="W25" s="57">
        <v>7</v>
      </c>
      <c r="X25" s="57">
        <v>6</v>
      </c>
      <c r="Y25" s="57">
        <v>6</v>
      </c>
      <c r="Z25" s="57">
        <v>6</v>
      </c>
      <c r="AA25" s="57">
        <v>6</v>
      </c>
      <c r="AB25" s="57">
        <v>8</v>
      </c>
      <c r="AC25" s="162">
        <f t="shared" si="0"/>
        <v>65</v>
      </c>
      <c r="AD25" s="165">
        <f t="shared" si="1"/>
        <v>65</v>
      </c>
      <c r="AE25" s="165">
        <f t="shared" si="2"/>
        <v>32.5</v>
      </c>
      <c r="AF25" s="163">
        <v>20</v>
      </c>
      <c r="AG25" s="59">
        <f t="shared" si="3"/>
        <v>66.67</v>
      </c>
      <c r="AH25" s="60">
        <f t="shared" si="4"/>
        <v>13.33</v>
      </c>
      <c r="AI25" s="62">
        <f t="shared" si="5"/>
        <v>65.03</v>
      </c>
      <c r="AJ25" s="63">
        <f t="shared" si="6"/>
        <v>78</v>
      </c>
      <c r="AK25" s="2"/>
      <c r="AL25" s="73" t="s">
        <v>38</v>
      </c>
      <c r="AM25" s="77" t="s">
        <v>33</v>
      </c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2">
        <f t="shared" si="7"/>
        <v>66.666666666666657</v>
      </c>
    </row>
    <row r="26" spans="1:58" ht="18" customHeight="1">
      <c r="A26" s="134">
        <v>15</v>
      </c>
      <c r="B26" s="206" t="s">
        <v>116</v>
      </c>
      <c r="C26" s="207"/>
      <c r="D26" s="64"/>
      <c r="E26" s="65"/>
      <c r="F26" s="56">
        <v>5</v>
      </c>
      <c r="G26" s="56">
        <v>5</v>
      </c>
      <c r="H26" s="56">
        <v>5</v>
      </c>
      <c r="I26" s="56">
        <v>6</v>
      </c>
      <c r="J26" s="56">
        <v>7</v>
      </c>
      <c r="K26" s="56">
        <v>8</v>
      </c>
      <c r="L26" s="56">
        <v>9</v>
      </c>
      <c r="M26" s="56">
        <v>8</v>
      </c>
      <c r="N26" s="56">
        <v>5</v>
      </c>
      <c r="O26" s="56">
        <v>9</v>
      </c>
      <c r="P26" s="56">
        <f t="shared" si="8"/>
        <v>67</v>
      </c>
      <c r="Q26" s="59">
        <f t="shared" si="9"/>
        <v>67</v>
      </c>
      <c r="R26" s="60">
        <f t="shared" si="10"/>
        <v>20.100000000000001</v>
      </c>
      <c r="S26" s="61">
        <v>6</v>
      </c>
      <c r="T26" s="57">
        <v>5</v>
      </c>
      <c r="U26" s="57">
        <v>6</v>
      </c>
      <c r="V26" s="57">
        <v>5</v>
      </c>
      <c r="W26" s="57">
        <v>6</v>
      </c>
      <c r="X26" s="57">
        <v>6</v>
      </c>
      <c r="Y26" s="57">
        <v>7</v>
      </c>
      <c r="Z26" s="57">
        <v>7</v>
      </c>
      <c r="AA26" s="57">
        <v>9</v>
      </c>
      <c r="AB26" s="57">
        <v>7</v>
      </c>
      <c r="AC26" s="162">
        <f t="shared" si="0"/>
        <v>64</v>
      </c>
      <c r="AD26" s="165">
        <f t="shared" si="1"/>
        <v>64</v>
      </c>
      <c r="AE26" s="165">
        <f t="shared" si="2"/>
        <v>32</v>
      </c>
      <c r="AF26" s="163">
        <v>26</v>
      </c>
      <c r="AG26" s="59">
        <f t="shared" si="3"/>
        <v>86.67</v>
      </c>
      <c r="AH26" s="60">
        <f t="shared" si="4"/>
        <v>17.329999999999998</v>
      </c>
      <c r="AI26" s="62">
        <f t="shared" si="5"/>
        <v>69.430000000000007</v>
      </c>
      <c r="AJ26" s="63">
        <f t="shared" si="6"/>
        <v>80</v>
      </c>
      <c r="AK26" s="2"/>
      <c r="AL26" s="66" t="s">
        <v>39</v>
      </c>
      <c r="AM26" s="78">
        <f>MAX(AF12:AF52)</f>
        <v>30</v>
      </c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2"/>
      <c r="BF26" s="12">
        <f t="shared" si="7"/>
        <v>86.666666666666671</v>
      </c>
    </row>
    <row r="27" spans="1:58" ht="18" customHeight="1">
      <c r="A27" s="134">
        <v>16</v>
      </c>
      <c r="B27" s="206" t="s">
        <v>117</v>
      </c>
      <c r="C27" s="207"/>
      <c r="D27" s="64"/>
      <c r="E27" s="65"/>
      <c r="F27" s="56">
        <v>5</v>
      </c>
      <c r="G27" s="56">
        <v>5</v>
      </c>
      <c r="H27" s="56">
        <v>5</v>
      </c>
      <c r="I27" s="56">
        <v>6</v>
      </c>
      <c r="J27" s="56">
        <v>6</v>
      </c>
      <c r="K27" s="56">
        <v>6</v>
      </c>
      <c r="L27" s="56">
        <v>6</v>
      </c>
      <c r="M27" s="56">
        <v>6</v>
      </c>
      <c r="N27" s="56">
        <v>6</v>
      </c>
      <c r="O27" s="56">
        <v>6</v>
      </c>
      <c r="P27" s="56">
        <f t="shared" si="8"/>
        <v>57</v>
      </c>
      <c r="Q27" s="59">
        <f t="shared" si="9"/>
        <v>57</v>
      </c>
      <c r="R27" s="60">
        <f t="shared" si="10"/>
        <v>17.100000000000001</v>
      </c>
      <c r="S27" s="61">
        <v>6</v>
      </c>
      <c r="T27" s="57">
        <v>5</v>
      </c>
      <c r="U27" s="57">
        <v>6</v>
      </c>
      <c r="V27" s="57">
        <v>6</v>
      </c>
      <c r="W27" s="57">
        <v>9</v>
      </c>
      <c r="X27" s="57">
        <v>9</v>
      </c>
      <c r="Y27" s="57">
        <v>8</v>
      </c>
      <c r="Z27" s="57">
        <v>6</v>
      </c>
      <c r="AA27" s="57">
        <v>9</v>
      </c>
      <c r="AB27" s="57">
        <v>9</v>
      </c>
      <c r="AC27" s="162">
        <f t="shared" si="0"/>
        <v>73</v>
      </c>
      <c r="AD27" s="165">
        <f t="shared" si="1"/>
        <v>73</v>
      </c>
      <c r="AE27" s="165">
        <f t="shared" si="2"/>
        <v>36.5</v>
      </c>
      <c r="AF27" s="163">
        <v>15</v>
      </c>
      <c r="AG27" s="59">
        <f t="shared" si="3"/>
        <v>50</v>
      </c>
      <c r="AH27" s="60">
        <f t="shared" si="4"/>
        <v>10</v>
      </c>
      <c r="AI27" s="62">
        <f t="shared" si="5"/>
        <v>63.6</v>
      </c>
      <c r="AJ27" s="63">
        <f t="shared" si="6"/>
        <v>77</v>
      </c>
      <c r="AK27" s="2"/>
      <c r="AL27" s="68" t="s">
        <v>40</v>
      </c>
      <c r="AM27" s="79">
        <f>MIN(AF12:AF76)</f>
        <v>15</v>
      </c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2"/>
      <c r="BF27" s="12">
        <f t="shared" si="7"/>
        <v>50</v>
      </c>
    </row>
    <row r="28" spans="1:58" ht="18" customHeight="1" thickBot="1">
      <c r="A28" s="134">
        <v>17</v>
      </c>
      <c r="B28" s="206" t="s">
        <v>118</v>
      </c>
      <c r="C28" s="207"/>
      <c r="D28" s="64"/>
      <c r="E28" s="65"/>
      <c r="F28" s="56">
        <v>6</v>
      </c>
      <c r="G28" s="56">
        <v>6</v>
      </c>
      <c r="H28" s="56">
        <v>6</v>
      </c>
      <c r="I28" s="56">
        <v>6</v>
      </c>
      <c r="J28" s="56">
        <v>7</v>
      </c>
      <c r="K28" s="56">
        <v>8</v>
      </c>
      <c r="L28" s="56">
        <v>9</v>
      </c>
      <c r="M28" s="56">
        <v>8</v>
      </c>
      <c r="N28" s="56">
        <v>5</v>
      </c>
      <c r="O28" s="56">
        <v>9</v>
      </c>
      <c r="P28" s="56">
        <f t="shared" si="8"/>
        <v>70</v>
      </c>
      <c r="Q28" s="59">
        <f t="shared" si="9"/>
        <v>70</v>
      </c>
      <c r="R28" s="60">
        <f t="shared" si="10"/>
        <v>21</v>
      </c>
      <c r="S28" s="61">
        <v>8</v>
      </c>
      <c r="T28" s="57">
        <v>5</v>
      </c>
      <c r="U28" s="57">
        <v>8</v>
      </c>
      <c r="V28" s="57">
        <v>6</v>
      </c>
      <c r="W28" s="57">
        <v>6</v>
      </c>
      <c r="X28" s="57">
        <v>8</v>
      </c>
      <c r="Y28" s="57">
        <v>8</v>
      </c>
      <c r="Z28" s="57">
        <v>7</v>
      </c>
      <c r="AA28" s="57">
        <v>9</v>
      </c>
      <c r="AB28" s="57">
        <v>7</v>
      </c>
      <c r="AC28" s="162">
        <f t="shared" si="0"/>
        <v>72</v>
      </c>
      <c r="AD28" s="165">
        <f t="shared" si="1"/>
        <v>72</v>
      </c>
      <c r="AE28" s="165">
        <f t="shared" si="2"/>
        <v>36</v>
      </c>
      <c r="AF28" s="163">
        <v>17</v>
      </c>
      <c r="AG28" s="59">
        <f t="shared" si="3"/>
        <v>56.67</v>
      </c>
      <c r="AH28" s="60">
        <f t="shared" si="4"/>
        <v>11.33</v>
      </c>
      <c r="AI28" s="62">
        <f t="shared" si="5"/>
        <v>68.33</v>
      </c>
      <c r="AJ28" s="63">
        <f t="shared" si="6"/>
        <v>80</v>
      </c>
      <c r="AK28" s="2"/>
      <c r="AL28" s="71" t="s">
        <v>41</v>
      </c>
      <c r="AM28" s="80">
        <f>SUM(AF12:AF52)</f>
        <v>927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2"/>
      <c r="BF28" s="12">
        <f t="shared" si="7"/>
        <v>56.666666666666664</v>
      </c>
    </row>
    <row r="29" spans="1:58" ht="18" customHeight="1">
      <c r="A29" s="134">
        <v>18</v>
      </c>
      <c r="B29" s="206" t="s">
        <v>119</v>
      </c>
      <c r="C29" s="207"/>
      <c r="D29" s="64"/>
      <c r="E29" s="65"/>
      <c r="F29" s="56">
        <v>9</v>
      </c>
      <c r="G29" s="56">
        <v>8</v>
      </c>
      <c r="H29" s="56">
        <v>8</v>
      </c>
      <c r="I29" s="56">
        <v>8</v>
      </c>
      <c r="J29" s="56">
        <v>8</v>
      </c>
      <c r="K29" s="56">
        <v>8</v>
      </c>
      <c r="L29" s="56">
        <v>9</v>
      </c>
      <c r="M29" s="56">
        <v>8</v>
      </c>
      <c r="N29" s="56">
        <v>5</v>
      </c>
      <c r="O29" s="56">
        <v>9</v>
      </c>
      <c r="P29" s="56">
        <f t="shared" si="8"/>
        <v>80</v>
      </c>
      <c r="Q29" s="59">
        <f t="shared" si="9"/>
        <v>80</v>
      </c>
      <c r="R29" s="60">
        <f t="shared" si="10"/>
        <v>24</v>
      </c>
      <c r="S29" s="61">
        <v>9</v>
      </c>
      <c r="T29" s="57">
        <v>5</v>
      </c>
      <c r="U29" s="57">
        <v>8</v>
      </c>
      <c r="V29" s="57">
        <v>8</v>
      </c>
      <c r="W29" s="57">
        <v>6</v>
      </c>
      <c r="X29" s="57">
        <v>6</v>
      </c>
      <c r="Y29" s="57">
        <v>6</v>
      </c>
      <c r="Z29" s="57">
        <v>6</v>
      </c>
      <c r="AA29" s="57">
        <v>6</v>
      </c>
      <c r="AB29" s="57">
        <v>7</v>
      </c>
      <c r="AC29" s="162">
        <f t="shared" si="0"/>
        <v>67</v>
      </c>
      <c r="AD29" s="165">
        <f t="shared" si="1"/>
        <v>67</v>
      </c>
      <c r="AE29" s="165">
        <f t="shared" si="2"/>
        <v>33.5</v>
      </c>
      <c r="AF29" s="163">
        <v>23</v>
      </c>
      <c r="AG29" s="59">
        <f t="shared" si="3"/>
        <v>76.67</v>
      </c>
      <c r="AH29" s="60">
        <f t="shared" si="4"/>
        <v>15.33</v>
      </c>
      <c r="AI29" s="62">
        <f t="shared" si="5"/>
        <v>72.83</v>
      </c>
      <c r="AJ29" s="63">
        <f t="shared" si="6"/>
        <v>83</v>
      </c>
      <c r="AK29" s="2"/>
      <c r="AL29" s="4"/>
      <c r="AM29" s="2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2"/>
      <c r="BF29" s="12">
        <f t="shared" si="7"/>
        <v>76.666666666666671</v>
      </c>
    </row>
    <row r="30" spans="1:58" ht="18" customHeight="1">
      <c r="A30" s="134">
        <v>19</v>
      </c>
      <c r="B30" s="206" t="s">
        <v>120</v>
      </c>
      <c r="C30" s="207"/>
      <c r="D30" s="64"/>
      <c r="E30" s="65"/>
      <c r="F30" s="56">
        <v>5</v>
      </c>
      <c r="G30" s="56">
        <v>6</v>
      </c>
      <c r="H30" s="56">
        <v>6</v>
      </c>
      <c r="I30" s="56">
        <v>6</v>
      </c>
      <c r="J30" s="56">
        <v>7</v>
      </c>
      <c r="K30" s="56">
        <v>6</v>
      </c>
      <c r="L30" s="56">
        <v>6</v>
      </c>
      <c r="M30" s="56">
        <v>6</v>
      </c>
      <c r="N30" s="56">
        <v>5</v>
      </c>
      <c r="O30" s="56">
        <v>9</v>
      </c>
      <c r="P30" s="56">
        <f t="shared" si="8"/>
        <v>62</v>
      </c>
      <c r="Q30" s="59">
        <f t="shared" si="9"/>
        <v>62</v>
      </c>
      <c r="R30" s="60">
        <f t="shared" si="10"/>
        <v>18.600000000000001</v>
      </c>
      <c r="S30" s="61">
        <v>9</v>
      </c>
      <c r="T30" s="57">
        <v>5</v>
      </c>
      <c r="U30" s="57">
        <v>8</v>
      </c>
      <c r="V30" s="57">
        <v>8</v>
      </c>
      <c r="W30" s="57">
        <v>9</v>
      </c>
      <c r="X30" s="57">
        <v>8</v>
      </c>
      <c r="Y30" s="57">
        <v>7</v>
      </c>
      <c r="Z30" s="57">
        <v>7</v>
      </c>
      <c r="AA30" s="57">
        <v>9</v>
      </c>
      <c r="AB30" s="57">
        <v>7</v>
      </c>
      <c r="AC30" s="162">
        <f t="shared" si="0"/>
        <v>77</v>
      </c>
      <c r="AD30" s="165">
        <f t="shared" si="1"/>
        <v>77</v>
      </c>
      <c r="AE30" s="165">
        <f t="shared" si="2"/>
        <v>38.5</v>
      </c>
      <c r="AF30" s="163">
        <v>19</v>
      </c>
      <c r="AG30" s="59">
        <f t="shared" si="3"/>
        <v>63.33</v>
      </c>
      <c r="AH30" s="60">
        <f t="shared" si="4"/>
        <v>12.67</v>
      </c>
      <c r="AI30" s="62">
        <f t="shared" si="5"/>
        <v>69.77</v>
      </c>
      <c r="AJ30" s="63">
        <f t="shared" si="6"/>
        <v>81</v>
      </c>
      <c r="AK30" s="2"/>
      <c r="AL30" s="16"/>
      <c r="AM30" s="2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2"/>
      <c r="BF30" s="12">
        <f t="shared" si="7"/>
        <v>63.333333333333329</v>
      </c>
    </row>
    <row r="31" spans="1:58" ht="18" customHeight="1" thickBot="1">
      <c r="A31" s="134">
        <v>20</v>
      </c>
      <c r="B31" s="246" t="s">
        <v>121</v>
      </c>
      <c r="C31" s="247"/>
      <c r="D31" s="64"/>
      <c r="E31" s="65"/>
      <c r="F31" s="56">
        <v>6</v>
      </c>
      <c r="G31" s="56">
        <v>6</v>
      </c>
      <c r="H31" s="56">
        <v>6</v>
      </c>
      <c r="I31" s="56">
        <v>6</v>
      </c>
      <c r="J31" s="56">
        <v>5</v>
      </c>
      <c r="K31" s="56">
        <v>6</v>
      </c>
      <c r="L31" s="56">
        <v>5</v>
      </c>
      <c r="M31" s="56">
        <v>4</v>
      </c>
      <c r="N31" s="56">
        <v>4</v>
      </c>
      <c r="O31" s="56">
        <v>9</v>
      </c>
      <c r="P31" s="56">
        <f t="shared" si="8"/>
        <v>57</v>
      </c>
      <c r="Q31" s="59">
        <f t="shared" si="9"/>
        <v>57</v>
      </c>
      <c r="R31" s="60">
        <f t="shared" si="10"/>
        <v>17.100000000000001</v>
      </c>
      <c r="S31" s="61">
        <v>6</v>
      </c>
      <c r="T31" s="57">
        <v>6</v>
      </c>
      <c r="U31" s="57">
        <v>6</v>
      </c>
      <c r="V31" s="57">
        <v>6</v>
      </c>
      <c r="W31" s="57">
        <v>9</v>
      </c>
      <c r="X31" s="57">
        <v>5</v>
      </c>
      <c r="Y31" s="57">
        <v>9</v>
      </c>
      <c r="Z31" s="57">
        <v>9</v>
      </c>
      <c r="AA31" s="57">
        <v>9</v>
      </c>
      <c r="AB31" s="57">
        <v>9</v>
      </c>
      <c r="AC31" s="166">
        <f t="shared" si="0"/>
        <v>74</v>
      </c>
      <c r="AD31" s="167">
        <f t="shared" si="1"/>
        <v>74</v>
      </c>
      <c r="AE31" s="167">
        <f t="shared" si="2"/>
        <v>37</v>
      </c>
      <c r="AF31" s="178">
        <v>17</v>
      </c>
      <c r="AG31" s="129">
        <f t="shared" si="3"/>
        <v>56.67</v>
      </c>
      <c r="AH31" s="130">
        <f t="shared" si="4"/>
        <v>11.33</v>
      </c>
      <c r="AI31" s="62">
        <f t="shared" si="5"/>
        <v>65.430000000000007</v>
      </c>
      <c r="AJ31" s="63">
        <f t="shared" si="6"/>
        <v>78</v>
      </c>
      <c r="AK31" s="2"/>
      <c r="AL31" s="4"/>
      <c r="AM31" s="2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2"/>
      <c r="BF31" s="12">
        <f t="shared" si="7"/>
        <v>56.666666666666664</v>
      </c>
    </row>
    <row r="32" spans="1:58" ht="18" customHeight="1" thickBot="1">
      <c r="A32" s="17"/>
      <c r="B32" s="123" t="s">
        <v>11</v>
      </c>
      <c r="C32" s="85"/>
      <c r="D32" s="85"/>
      <c r="E32" s="85"/>
      <c r="F32" s="81"/>
      <c r="G32" s="82"/>
      <c r="H32" s="82"/>
      <c r="I32" s="82"/>
      <c r="J32" s="82"/>
      <c r="K32" s="82"/>
      <c r="L32" s="82"/>
      <c r="M32" s="82"/>
      <c r="N32" s="82"/>
      <c r="O32" s="83"/>
      <c r="P32" s="84"/>
      <c r="Q32" s="84"/>
      <c r="R32" s="137"/>
      <c r="S32" s="137"/>
      <c r="T32" s="82"/>
      <c r="U32" s="82"/>
      <c r="V32" s="82"/>
      <c r="W32" s="82"/>
      <c r="X32" s="82"/>
      <c r="Y32" s="83"/>
      <c r="Z32" s="182"/>
      <c r="AA32" s="183"/>
      <c r="AB32" s="184"/>
      <c r="AC32" s="169"/>
      <c r="AD32" s="170"/>
      <c r="AE32" s="171"/>
      <c r="AF32" s="170"/>
      <c r="AG32" s="183"/>
      <c r="AH32" s="171"/>
      <c r="AI32" s="177"/>
      <c r="AJ32" s="53"/>
    </row>
    <row r="33" spans="1:58" ht="18" customHeight="1">
      <c r="A33" s="133">
        <v>1</v>
      </c>
      <c r="B33" s="248" t="s">
        <v>122</v>
      </c>
      <c r="C33" s="249"/>
      <c r="D33" s="14"/>
      <c r="E33" s="15"/>
      <c r="F33" s="56">
        <v>9</v>
      </c>
      <c r="G33" s="56">
        <v>9</v>
      </c>
      <c r="H33" s="57">
        <v>8</v>
      </c>
      <c r="I33" s="57">
        <v>8</v>
      </c>
      <c r="J33" s="57">
        <v>7</v>
      </c>
      <c r="K33" s="56">
        <v>6</v>
      </c>
      <c r="L33" s="56">
        <v>8</v>
      </c>
      <c r="M33" s="57">
        <v>9</v>
      </c>
      <c r="N33" s="57">
        <v>9</v>
      </c>
      <c r="O33" s="57">
        <v>7</v>
      </c>
      <c r="P33" s="58">
        <f t="shared" ref="P33:P52" si="11">IF(COUNT($F33:$O33)=0,"",SUM($F33:$O33))</f>
        <v>80</v>
      </c>
      <c r="Q33" s="59">
        <f t="shared" ref="Q33:Q52" si="12">IF(ISERROR(IF($P33="","",ROUND(($P33/$P$10)*$Q$10,2))),"",IF($P33="","",ROUND(($P33/$P$10)*$Q$10,2)))</f>
        <v>80</v>
      </c>
      <c r="R33" s="60">
        <f t="shared" ref="R33:R52" si="13">IF($Q33="","",ROUND($Q33*$R$10,2))</f>
        <v>24</v>
      </c>
      <c r="S33" s="61">
        <v>8</v>
      </c>
      <c r="T33" s="57">
        <v>8</v>
      </c>
      <c r="U33" s="57">
        <v>9</v>
      </c>
      <c r="V33" s="57">
        <v>9</v>
      </c>
      <c r="W33" s="57">
        <v>8</v>
      </c>
      <c r="X33" s="57">
        <v>6</v>
      </c>
      <c r="Y33" s="57">
        <v>6</v>
      </c>
      <c r="Z33" s="57">
        <v>6</v>
      </c>
      <c r="AA33" s="57">
        <v>6</v>
      </c>
      <c r="AB33" s="57">
        <v>6</v>
      </c>
      <c r="AC33" s="168">
        <f t="shared" ref="AC33:AC52" si="14">IF(COUNT($S33:$AB33)=0,"",SUM($S33:$AB33))</f>
        <v>72</v>
      </c>
      <c r="AD33" s="172">
        <f t="shared" ref="AD33:AD52" si="15">IF(ISERROR(IF($AC33="","",ROUND(($AC33/$AC$10)*$AD$10,2))),"",IF($AC33="","",ROUND(($AC33/$AC$10)*$AD$10,2)))</f>
        <v>72</v>
      </c>
      <c r="AE33" s="179">
        <f t="shared" ref="AE33:AE52" si="16">IF($AD33="","",ROUND($AD33*$AE$10,2))</f>
        <v>36</v>
      </c>
      <c r="AF33" s="180">
        <v>22</v>
      </c>
      <c r="AG33" s="179">
        <f t="shared" ref="AG33:AG52" si="17">IF(ISERROR(IF($AF33="","",ROUND(($AF33/$AF$10)*$AG$10,2))),"",IF($AF33="","",ROUND(($AF33/$AF$10)*$AG$10,2)))</f>
        <v>73.33</v>
      </c>
      <c r="AH33" s="181">
        <f t="shared" ref="AH33:AH52" si="18">IF($AG33="","",ROUND($AG33*$AH$10,2))</f>
        <v>14.67</v>
      </c>
      <c r="AI33" s="175">
        <f t="shared" ref="AI33:AI52" si="19">IF(ISERROR(IF($AF33="","",ROUND(SUM($R33,$AE33,$AH33),2))),"",IF($AF33="","",ROUND(SUM($R33,$AE33,$AH33),2)))</f>
        <v>74.67</v>
      </c>
      <c r="AJ33" s="63">
        <f t="shared" ref="AJ33:AJ52" si="20">IF(ISERROR(IF($AF33="","",VLOOKUP(AI33,TRANSMUTATION_TABLE,4,TRUE))),"",IF($AF33="","",VLOOKUP(AI33,TRANSMUTATION_TABLE,4,TRUE)))</f>
        <v>84</v>
      </c>
    </row>
    <row r="34" spans="1:58" ht="18" customHeight="1">
      <c r="A34" s="134">
        <v>2</v>
      </c>
      <c r="B34" s="250" t="s">
        <v>123</v>
      </c>
      <c r="C34" s="251"/>
      <c r="D34" s="64"/>
      <c r="E34" s="65"/>
      <c r="F34" s="56">
        <v>9</v>
      </c>
      <c r="G34" s="56">
        <v>6</v>
      </c>
      <c r="H34" s="57">
        <v>6</v>
      </c>
      <c r="I34" s="57">
        <v>6</v>
      </c>
      <c r="J34" s="57">
        <v>6</v>
      </c>
      <c r="K34" s="56">
        <v>8</v>
      </c>
      <c r="L34" s="56">
        <v>9</v>
      </c>
      <c r="M34" s="57">
        <v>9</v>
      </c>
      <c r="N34" s="57">
        <v>10</v>
      </c>
      <c r="O34" s="57">
        <v>10</v>
      </c>
      <c r="P34" s="58">
        <f t="shared" si="11"/>
        <v>79</v>
      </c>
      <c r="Q34" s="59">
        <f t="shared" si="12"/>
        <v>79</v>
      </c>
      <c r="R34" s="60">
        <f t="shared" si="13"/>
        <v>23.7</v>
      </c>
      <c r="S34" s="61">
        <v>8</v>
      </c>
      <c r="T34" s="57">
        <v>6</v>
      </c>
      <c r="U34" s="57">
        <v>10</v>
      </c>
      <c r="V34" s="57">
        <v>6</v>
      </c>
      <c r="W34" s="57">
        <v>8</v>
      </c>
      <c r="X34" s="57">
        <v>7</v>
      </c>
      <c r="Y34" s="57">
        <v>7</v>
      </c>
      <c r="Z34" s="57">
        <v>6</v>
      </c>
      <c r="AA34" s="57">
        <v>6</v>
      </c>
      <c r="AB34" s="57">
        <v>8</v>
      </c>
      <c r="AC34" s="162">
        <f t="shared" si="14"/>
        <v>72</v>
      </c>
      <c r="AD34" s="172">
        <f t="shared" si="15"/>
        <v>72</v>
      </c>
      <c r="AE34" s="165">
        <f t="shared" si="16"/>
        <v>36</v>
      </c>
      <c r="AF34" s="173">
        <v>24</v>
      </c>
      <c r="AG34" s="165">
        <f t="shared" si="17"/>
        <v>80</v>
      </c>
      <c r="AH34" s="174">
        <f t="shared" si="18"/>
        <v>16</v>
      </c>
      <c r="AI34" s="176">
        <f t="shared" si="19"/>
        <v>75.7</v>
      </c>
      <c r="AJ34" s="63">
        <f t="shared" si="20"/>
        <v>84</v>
      </c>
      <c r="AK34" s="2"/>
      <c r="AL34" s="4"/>
      <c r="AM34" s="2"/>
      <c r="AN34" s="3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12" t="e">
        <f>(#REF!/$AF$10)*100</f>
        <v>#REF!</v>
      </c>
    </row>
    <row r="35" spans="1:58" ht="18" customHeight="1">
      <c r="A35" s="134">
        <v>3</v>
      </c>
      <c r="B35" s="250" t="s">
        <v>124</v>
      </c>
      <c r="C35" s="251"/>
      <c r="D35" s="64"/>
      <c r="E35" s="65"/>
      <c r="F35" s="56">
        <v>6</v>
      </c>
      <c r="G35" s="56">
        <v>6</v>
      </c>
      <c r="H35" s="57">
        <v>6</v>
      </c>
      <c r="I35" s="57">
        <v>6</v>
      </c>
      <c r="J35" s="57">
        <v>8</v>
      </c>
      <c r="K35" s="56">
        <v>8</v>
      </c>
      <c r="L35" s="56">
        <v>8</v>
      </c>
      <c r="M35" s="57">
        <v>8</v>
      </c>
      <c r="N35" s="57">
        <v>9</v>
      </c>
      <c r="O35" s="57">
        <v>10</v>
      </c>
      <c r="P35" s="58">
        <f t="shared" si="11"/>
        <v>75</v>
      </c>
      <c r="Q35" s="59">
        <f t="shared" si="12"/>
        <v>75</v>
      </c>
      <c r="R35" s="60">
        <f t="shared" si="13"/>
        <v>22.5</v>
      </c>
      <c r="S35" s="61">
        <v>6</v>
      </c>
      <c r="T35" s="57">
        <v>6</v>
      </c>
      <c r="U35" s="57">
        <v>6</v>
      </c>
      <c r="V35" s="57">
        <v>5</v>
      </c>
      <c r="W35" s="57">
        <v>5</v>
      </c>
      <c r="X35" s="57">
        <v>6</v>
      </c>
      <c r="Y35" s="57">
        <v>7</v>
      </c>
      <c r="Z35" s="57">
        <v>6</v>
      </c>
      <c r="AA35" s="57">
        <v>8</v>
      </c>
      <c r="AB35" s="57">
        <v>10</v>
      </c>
      <c r="AC35" s="162">
        <f t="shared" si="14"/>
        <v>65</v>
      </c>
      <c r="AD35" s="172">
        <f t="shared" si="15"/>
        <v>65</v>
      </c>
      <c r="AE35" s="165">
        <f t="shared" si="16"/>
        <v>32.5</v>
      </c>
      <c r="AF35" s="173">
        <v>27</v>
      </c>
      <c r="AG35" s="165">
        <f t="shared" si="17"/>
        <v>90</v>
      </c>
      <c r="AH35" s="174">
        <f t="shared" si="18"/>
        <v>18</v>
      </c>
      <c r="AI35" s="176">
        <f t="shared" si="19"/>
        <v>73</v>
      </c>
      <c r="AJ35" s="63">
        <f t="shared" si="20"/>
        <v>83</v>
      </c>
      <c r="AK35" s="2"/>
      <c r="AL35" s="4"/>
      <c r="AM35" s="2"/>
      <c r="AN35" s="3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12" t="e">
        <f>(#REF!/$AF$10)*100</f>
        <v>#REF!</v>
      </c>
    </row>
    <row r="36" spans="1:58" ht="18" customHeight="1">
      <c r="A36" s="134">
        <v>4</v>
      </c>
      <c r="B36" s="250" t="s">
        <v>125</v>
      </c>
      <c r="C36" s="251"/>
      <c r="D36" s="64"/>
      <c r="E36" s="65"/>
      <c r="F36" s="56">
        <v>10</v>
      </c>
      <c r="G36" s="56">
        <v>9</v>
      </c>
      <c r="H36" s="57">
        <v>8</v>
      </c>
      <c r="I36" s="57">
        <v>7</v>
      </c>
      <c r="J36" s="57">
        <v>8</v>
      </c>
      <c r="K36" s="56">
        <v>9</v>
      </c>
      <c r="L36" s="56">
        <v>8</v>
      </c>
      <c r="M36" s="57">
        <v>9</v>
      </c>
      <c r="N36" s="57">
        <v>8</v>
      </c>
      <c r="O36" s="57">
        <v>10</v>
      </c>
      <c r="P36" s="58">
        <f t="shared" si="11"/>
        <v>86</v>
      </c>
      <c r="Q36" s="59">
        <f t="shared" si="12"/>
        <v>86</v>
      </c>
      <c r="R36" s="60">
        <f t="shared" si="13"/>
        <v>25.8</v>
      </c>
      <c r="S36" s="61">
        <v>6</v>
      </c>
      <c r="T36" s="57">
        <v>6</v>
      </c>
      <c r="U36" s="57">
        <v>6</v>
      </c>
      <c r="V36" s="57">
        <v>10</v>
      </c>
      <c r="W36" s="57">
        <v>6</v>
      </c>
      <c r="X36" s="57">
        <v>6</v>
      </c>
      <c r="Y36" s="57">
        <v>10</v>
      </c>
      <c r="Z36" s="57">
        <v>6</v>
      </c>
      <c r="AA36" s="57">
        <v>6</v>
      </c>
      <c r="AB36" s="57">
        <v>10</v>
      </c>
      <c r="AC36" s="162">
        <f t="shared" si="14"/>
        <v>72</v>
      </c>
      <c r="AD36" s="172">
        <f t="shared" si="15"/>
        <v>72</v>
      </c>
      <c r="AE36" s="165">
        <f t="shared" si="16"/>
        <v>36</v>
      </c>
      <c r="AF36" s="173">
        <v>20</v>
      </c>
      <c r="AG36" s="165">
        <f t="shared" si="17"/>
        <v>66.67</v>
      </c>
      <c r="AH36" s="174">
        <f t="shared" si="18"/>
        <v>13.33</v>
      </c>
      <c r="AI36" s="176">
        <f t="shared" si="19"/>
        <v>75.13</v>
      </c>
      <c r="AJ36" s="63">
        <f t="shared" si="20"/>
        <v>84</v>
      </c>
      <c r="AK36" s="2"/>
      <c r="AL36" s="4"/>
      <c r="AM36" s="2"/>
      <c r="AN36" s="3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12" t="e">
        <f>(#REF!/$AF$10)*100</f>
        <v>#REF!</v>
      </c>
    </row>
    <row r="37" spans="1:58" ht="18" customHeight="1">
      <c r="A37" s="134">
        <v>5</v>
      </c>
      <c r="B37" s="250" t="s">
        <v>126</v>
      </c>
      <c r="C37" s="251"/>
      <c r="D37" s="64"/>
      <c r="E37" s="65"/>
      <c r="F37" s="56">
        <v>6</v>
      </c>
      <c r="G37" s="56">
        <v>9</v>
      </c>
      <c r="H37" s="57">
        <v>9</v>
      </c>
      <c r="I37" s="57">
        <v>8</v>
      </c>
      <c r="J37" s="57">
        <v>9</v>
      </c>
      <c r="K37" s="56">
        <v>9</v>
      </c>
      <c r="L37" s="56">
        <v>6</v>
      </c>
      <c r="M37" s="57">
        <v>8</v>
      </c>
      <c r="N37" s="57">
        <v>6</v>
      </c>
      <c r="O37" s="57">
        <v>6</v>
      </c>
      <c r="P37" s="58">
        <f t="shared" si="11"/>
        <v>76</v>
      </c>
      <c r="Q37" s="59">
        <f t="shared" si="12"/>
        <v>76</v>
      </c>
      <c r="R37" s="60">
        <f t="shared" si="13"/>
        <v>22.8</v>
      </c>
      <c r="S37" s="61">
        <v>10</v>
      </c>
      <c r="T37" s="57">
        <v>6</v>
      </c>
      <c r="U37" s="57">
        <v>10</v>
      </c>
      <c r="V37" s="57">
        <v>10</v>
      </c>
      <c r="W37" s="57">
        <v>8</v>
      </c>
      <c r="X37" s="57">
        <v>7</v>
      </c>
      <c r="Y37" s="57">
        <v>7</v>
      </c>
      <c r="Z37" s="57">
        <v>6</v>
      </c>
      <c r="AA37" s="57">
        <v>8</v>
      </c>
      <c r="AB37" s="57">
        <v>9</v>
      </c>
      <c r="AC37" s="162">
        <f t="shared" si="14"/>
        <v>81</v>
      </c>
      <c r="AD37" s="172">
        <f t="shared" si="15"/>
        <v>81</v>
      </c>
      <c r="AE37" s="165">
        <f t="shared" si="16"/>
        <v>40.5</v>
      </c>
      <c r="AF37" s="173">
        <v>30</v>
      </c>
      <c r="AG37" s="165">
        <f t="shared" si="17"/>
        <v>100</v>
      </c>
      <c r="AH37" s="174">
        <f t="shared" si="18"/>
        <v>20</v>
      </c>
      <c r="AI37" s="176">
        <f t="shared" si="19"/>
        <v>83.3</v>
      </c>
      <c r="AJ37" s="63">
        <f t="shared" si="20"/>
        <v>89</v>
      </c>
      <c r="AK37" s="2"/>
      <c r="AL37" s="4"/>
      <c r="AM37" s="2"/>
      <c r="AN37" s="3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12" t="e">
        <f>(#REF!/$AF$10)*100</f>
        <v>#REF!</v>
      </c>
    </row>
    <row r="38" spans="1:58" ht="18" customHeight="1">
      <c r="A38" s="134">
        <v>6</v>
      </c>
      <c r="B38" s="250" t="s">
        <v>127</v>
      </c>
      <c r="C38" s="251"/>
      <c r="D38" s="64"/>
      <c r="E38" s="65"/>
      <c r="F38" s="56">
        <v>10</v>
      </c>
      <c r="G38" s="56">
        <v>10</v>
      </c>
      <c r="H38" s="57">
        <v>9</v>
      </c>
      <c r="I38" s="57">
        <v>9</v>
      </c>
      <c r="J38" s="57">
        <v>8</v>
      </c>
      <c r="K38" s="56">
        <v>10</v>
      </c>
      <c r="L38" s="56">
        <v>10</v>
      </c>
      <c r="M38" s="57">
        <v>10</v>
      </c>
      <c r="N38" s="57">
        <v>10</v>
      </c>
      <c r="O38" s="57">
        <v>10</v>
      </c>
      <c r="P38" s="58">
        <f t="shared" si="11"/>
        <v>96</v>
      </c>
      <c r="Q38" s="59">
        <f t="shared" si="12"/>
        <v>96</v>
      </c>
      <c r="R38" s="60">
        <f t="shared" si="13"/>
        <v>28.8</v>
      </c>
      <c r="S38" s="61">
        <v>10</v>
      </c>
      <c r="T38" s="57">
        <v>10</v>
      </c>
      <c r="U38" s="57">
        <v>10</v>
      </c>
      <c r="V38" s="57">
        <v>7</v>
      </c>
      <c r="W38" s="57">
        <v>6</v>
      </c>
      <c r="X38" s="57">
        <v>10</v>
      </c>
      <c r="Y38" s="57">
        <v>10</v>
      </c>
      <c r="Z38" s="57">
        <v>9</v>
      </c>
      <c r="AA38" s="57">
        <v>6</v>
      </c>
      <c r="AB38" s="57">
        <v>6</v>
      </c>
      <c r="AC38" s="162">
        <f t="shared" si="14"/>
        <v>84</v>
      </c>
      <c r="AD38" s="172">
        <f t="shared" si="15"/>
        <v>84</v>
      </c>
      <c r="AE38" s="165">
        <f t="shared" si="16"/>
        <v>42</v>
      </c>
      <c r="AF38" s="173">
        <v>18</v>
      </c>
      <c r="AG38" s="165">
        <f t="shared" si="17"/>
        <v>60</v>
      </c>
      <c r="AH38" s="174">
        <f t="shared" si="18"/>
        <v>12</v>
      </c>
      <c r="AI38" s="176">
        <f t="shared" si="19"/>
        <v>82.8</v>
      </c>
      <c r="AJ38" s="63">
        <f t="shared" si="20"/>
        <v>89</v>
      </c>
      <c r="AK38" s="2"/>
      <c r="AL38" s="4"/>
      <c r="AM38" s="2"/>
      <c r="AN38" s="3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12">
        <f t="shared" ref="BF38:BF54" si="21">(AF32/$AF$10)*100</f>
        <v>0</v>
      </c>
    </row>
    <row r="39" spans="1:58" ht="18" customHeight="1">
      <c r="A39" s="134">
        <v>7</v>
      </c>
      <c r="B39" s="250" t="s">
        <v>128</v>
      </c>
      <c r="C39" s="251"/>
      <c r="D39" s="64"/>
      <c r="E39" s="65"/>
      <c r="F39" s="56">
        <v>8</v>
      </c>
      <c r="G39" s="56">
        <v>8</v>
      </c>
      <c r="H39" s="57">
        <v>6</v>
      </c>
      <c r="I39" s="57">
        <v>6</v>
      </c>
      <c r="J39" s="57">
        <v>7</v>
      </c>
      <c r="K39" s="56">
        <v>5</v>
      </c>
      <c r="L39" s="56">
        <v>6</v>
      </c>
      <c r="M39" s="57">
        <v>6</v>
      </c>
      <c r="N39" s="57">
        <v>6</v>
      </c>
      <c r="O39" s="57">
        <v>6</v>
      </c>
      <c r="P39" s="58">
        <f t="shared" si="11"/>
        <v>64</v>
      </c>
      <c r="Q39" s="59">
        <f t="shared" si="12"/>
        <v>64</v>
      </c>
      <c r="R39" s="60">
        <f t="shared" si="13"/>
        <v>19.2</v>
      </c>
      <c r="S39" s="61">
        <v>10</v>
      </c>
      <c r="T39" s="57">
        <v>10</v>
      </c>
      <c r="U39" s="57">
        <v>8</v>
      </c>
      <c r="V39" s="57">
        <v>6</v>
      </c>
      <c r="W39" s="57">
        <v>10</v>
      </c>
      <c r="X39" s="57">
        <v>4</v>
      </c>
      <c r="Y39" s="57">
        <v>10</v>
      </c>
      <c r="Z39" s="57">
        <v>6</v>
      </c>
      <c r="AA39" s="57">
        <v>10</v>
      </c>
      <c r="AB39" s="57">
        <v>10</v>
      </c>
      <c r="AC39" s="162">
        <f t="shared" si="14"/>
        <v>84</v>
      </c>
      <c r="AD39" s="172">
        <f t="shared" si="15"/>
        <v>84</v>
      </c>
      <c r="AE39" s="165">
        <f t="shared" si="16"/>
        <v>42</v>
      </c>
      <c r="AF39" s="173">
        <v>20</v>
      </c>
      <c r="AG39" s="165">
        <f t="shared" si="17"/>
        <v>66.67</v>
      </c>
      <c r="AH39" s="174">
        <f t="shared" si="18"/>
        <v>13.33</v>
      </c>
      <c r="AI39" s="176">
        <f t="shared" si="19"/>
        <v>74.53</v>
      </c>
      <c r="AJ39" s="63">
        <f t="shared" si="20"/>
        <v>84</v>
      </c>
      <c r="AK39" s="2"/>
      <c r="AL39" s="4"/>
      <c r="AM39" s="2"/>
      <c r="AN39" s="3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12">
        <f t="shared" si="21"/>
        <v>73.333333333333329</v>
      </c>
    </row>
    <row r="40" spans="1:58" ht="18" customHeight="1">
      <c r="A40" s="134">
        <v>8</v>
      </c>
      <c r="B40" s="250" t="s">
        <v>129</v>
      </c>
      <c r="C40" s="251"/>
      <c r="D40" s="64"/>
      <c r="E40" s="65"/>
      <c r="F40" s="56">
        <v>4</v>
      </c>
      <c r="G40" s="56">
        <v>8</v>
      </c>
      <c r="H40" s="57">
        <v>6</v>
      </c>
      <c r="I40" s="57">
        <v>6</v>
      </c>
      <c r="J40" s="57">
        <v>4</v>
      </c>
      <c r="K40" s="56">
        <v>5</v>
      </c>
      <c r="L40" s="56">
        <v>6</v>
      </c>
      <c r="M40" s="57">
        <v>5</v>
      </c>
      <c r="N40" s="57">
        <v>6</v>
      </c>
      <c r="O40" s="57">
        <v>6</v>
      </c>
      <c r="P40" s="58">
        <f t="shared" si="11"/>
        <v>56</v>
      </c>
      <c r="Q40" s="59">
        <f t="shared" si="12"/>
        <v>56</v>
      </c>
      <c r="R40" s="60">
        <f t="shared" si="13"/>
        <v>16.8</v>
      </c>
      <c r="S40" s="61">
        <v>6</v>
      </c>
      <c r="T40" s="57">
        <v>6</v>
      </c>
      <c r="U40" s="57">
        <v>4</v>
      </c>
      <c r="V40" s="57">
        <v>8</v>
      </c>
      <c r="W40" s="57">
        <v>6</v>
      </c>
      <c r="X40" s="57">
        <v>5</v>
      </c>
      <c r="Y40" s="57">
        <v>8</v>
      </c>
      <c r="Z40" s="57">
        <v>6</v>
      </c>
      <c r="AA40" s="57">
        <v>10</v>
      </c>
      <c r="AB40" s="57">
        <v>10</v>
      </c>
      <c r="AC40" s="162">
        <f t="shared" si="14"/>
        <v>69</v>
      </c>
      <c r="AD40" s="172">
        <f t="shared" si="15"/>
        <v>69</v>
      </c>
      <c r="AE40" s="165">
        <f t="shared" si="16"/>
        <v>34.5</v>
      </c>
      <c r="AF40" s="173">
        <v>18</v>
      </c>
      <c r="AG40" s="165">
        <f t="shared" si="17"/>
        <v>60</v>
      </c>
      <c r="AH40" s="174">
        <f t="shared" si="18"/>
        <v>12</v>
      </c>
      <c r="AI40" s="176">
        <f t="shared" si="19"/>
        <v>63.3</v>
      </c>
      <c r="AJ40" s="63">
        <f t="shared" si="20"/>
        <v>77</v>
      </c>
      <c r="AK40" s="2"/>
      <c r="AL40" s="4"/>
      <c r="AM40" s="2"/>
      <c r="AN40" s="3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12">
        <f t="shared" si="21"/>
        <v>80</v>
      </c>
    </row>
    <row r="41" spans="1:58" ht="18" customHeight="1">
      <c r="A41" s="134">
        <v>9</v>
      </c>
      <c r="B41" s="250" t="s">
        <v>130</v>
      </c>
      <c r="C41" s="251"/>
      <c r="D41" s="64"/>
      <c r="E41" s="65"/>
      <c r="F41" s="56">
        <v>8</v>
      </c>
      <c r="G41" s="56">
        <v>8</v>
      </c>
      <c r="H41" s="57">
        <v>7</v>
      </c>
      <c r="I41" s="57">
        <v>9</v>
      </c>
      <c r="J41" s="57">
        <v>9</v>
      </c>
      <c r="K41" s="56">
        <v>9</v>
      </c>
      <c r="L41" s="56">
        <v>9</v>
      </c>
      <c r="M41" s="57">
        <v>8</v>
      </c>
      <c r="N41" s="57">
        <v>9</v>
      </c>
      <c r="O41" s="57">
        <v>9</v>
      </c>
      <c r="P41" s="58">
        <f t="shared" si="11"/>
        <v>85</v>
      </c>
      <c r="Q41" s="59">
        <f t="shared" si="12"/>
        <v>85</v>
      </c>
      <c r="R41" s="60">
        <f t="shared" si="13"/>
        <v>25.5</v>
      </c>
      <c r="S41" s="61">
        <v>6</v>
      </c>
      <c r="T41" s="57">
        <v>6</v>
      </c>
      <c r="U41" s="57">
        <v>7</v>
      </c>
      <c r="V41" s="57">
        <v>6</v>
      </c>
      <c r="W41" s="57">
        <v>6</v>
      </c>
      <c r="X41" s="57">
        <v>10</v>
      </c>
      <c r="Y41" s="57">
        <v>10</v>
      </c>
      <c r="Z41" s="57">
        <v>10</v>
      </c>
      <c r="AA41" s="57">
        <v>10</v>
      </c>
      <c r="AB41" s="57">
        <v>7</v>
      </c>
      <c r="AC41" s="162">
        <f t="shared" si="14"/>
        <v>78</v>
      </c>
      <c r="AD41" s="172">
        <f t="shared" si="15"/>
        <v>78</v>
      </c>
      <c r="AE41" s="165">
        <f t="shared" si="16"/>
        <v>39</v>
      </c>
      <c r="AF41" s="173">
        <v>27</v>
      </c>
      <c r="AG41" s="165">
        <f t="shared" si="17"/>
        <v>90</v>
      </c>
      <c r="AH41" s="174">
        <f t="shared" si="18"/>
        <v>18</v>
      </c>
      <c r="AI41" s="176">
        <f t="shared" si="19"/>
        <v>82.5</v>
      </c>
      <c r="AJ41" s="63">
        <f t="shared" si="20"/>
        <v>89</v>
      </c>
      <c r="AK41" s="2"/>
      <c r="AL41" s="4"/>
      <c r="AM41" s="2"/>
      <c r="AN41" s="3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12">
        <f t="shared" si="21"/>
        <v>90</v>
      </c>
    </row>
    <row r="42" spans="1:58" ht="18" customHeight="1">
      <c r="A42" s="134">
        <v>10</v>
      </c>
      <c r="B42" s="250" t="s">
        <v>131</v>
      </c>
      <c r="C42" s="251"/>
      <c r="D42" s="64"/>
      <c r="E42" s="65"/>
      <c r="F42" s="56">
        <v>9</v>
      </c>
      <c r="G42" s="56">
        <v>9</v>
      </c>
      <c r="H42" s="57">
        <v>9</v>
      </c>
      <c r="I42" s="57">
        <v>8</v>
      </c>
      <c r="J42" s="57">
        <v>5</v>
      </c>
      <c r="K42" s="56">
        <v>6</v>
      </c>
      <c r="L42" s="56">
        <v>6</v>
      </c>
      <c r="M42" s="57">
        <v>4</v>
      </c>
      <c r="N42" s="57">
        <v>6</v>
      </c>
      <c r="O42" s="57">
        <v>6</v>
      </c>
      <c r="P42" s="58">
        <f t="shared" si="11"/>
        <v>68</v>
      </c>
      <c r="Q42" s="59">
        <f t="shared" si="12"/>
        <v>68</v>
      </c>
      <c r="R42" s="60">
        <f t="shared" si="13"/>
        <v>20.399999999999999</v>
      </c>
      <c r="S42" s="61">
        <v>9</v>
      </c>
      <c r="T42" s="57">
        <v>8</v>
      </c>
      <c r="U42" s="57">
        <v>6</v>
      </c>
      <c r="V42" s="57">
        <v>6</v>
      </c>
      <c r="W42" s="57">
        <v>5</v>
      </c>
      <c r="X42" s="57">
        <v>6</v>
      </c>
      <c r="Y42" s="57">
        <v>7</v>
      </c>
      <c r="Z42" s="57">
        <v>10</v>
      </c>
      <c r="AA42" s="57">
        <v>8</v>
      </c>
      <c r="AB42" s="57">
        <v>10</v>
      </c>
      <c r="AC42" s="162">
        <f t="shared" si="14"/>
        <v>75</v>
      </c>
      <c r="AD42" s="172">
        <f t="shared" si="15"/>
        <v>75</v>
      </c>
      <c r="AE42" s="165">
        <f t="shared" si="16"/>
        <v>37.5</v>
      </c>
      <c r="AF42" s="173">
        <v>26</v>
      </c>
      <c r="AG42" s="165">
        <f t="shared" si="17"/>
        <v>86.67</v>
      </c>
      <c r="AH42" s="174">
        <f t="shared" si="18"/>
        <v>17.329999999999998</v>
      </c>
      <c r="AI42" s="176">
        <f t="shared" si="19"/>
        <v>75.23</v>
      </c>
      <c r="AJ42" s="63">
        <f t="shared" si="20"/>
        <v>84</v>
      </c>
      <c r="AK42" s="2"/>
      <c r="AL42" s="4"/>
      <c r="AM42" s="2"/>
      <c r="AN42" s="3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12">
        <f t="shared" si="21"/>
        <v>66.666666666666657</v>
      </c>
    </row>
    <row r="43" spans="1:58" ht="18" customHeight="1">
      <c r="A43" s="134">
        <v>11</v>
      </c>
      <c r="B43" s="250" t="s">
        <v>132</v>
      </c>
      <c r="C43" s="251"/>
      <c r="D43" s="64"/>
      <c r="E43" s="65"/>
      <c r="F43" s="56">
        <v>8</v>
      </c>
      <c r="G43" s="56">
        <v>8</v>
      </c>
      <c r="H43" s="57">
        <v>6</v>
      </c>
      <c r="I43" s="57">
        <v>6</v>
      </c>
      <c r="J43" s="57">
        <v>6</v>
      </c>
      <c r="K43" s="56">
        <v>7</v>
      </c>
      <c r="L43" s="56">
        <v>7</v>
      </c>
      <c r="M43" s="57">
        <v>8</v>
      </c>
      <c r="N43" s="57">
        <v>9</v>
      </c>
      <c r="O43" s="57">
        <v>9</v>
      </c>
      <c r="P43" s="58">
        <f t="shared" si="11"/>
        <v>74</v>
      </c>
      <c r="Q43" s="59">
        <f t="shared" si="12"/>
        <v>74</v>
      </c>
      <c r="R43" s="60">
        <f t="shared" si="13"/>
        <v>22.2</v>
      </c>
      <c r="S43" s="61">
        <v>6</v>
      </c>
      <c r="T43" s="57">
        <v>7</v>
      </c>
      <c r="U43" s="57">
        <v>8</v>
      </c>
      <c r="V43" s="57">
        <v>6</v>
      </c>
      <c r="W43" s="57">
        <v>8</v>
      </c>
      <c r="X43" s="57">
        <v>6</v>
      </c>
      <c r="Y43" s="57">
        <v>7</v>
      </c>
      <c r="Z43" s="57">
        <v>6</v>
      </c>
      <c r="AA43" s="57">
        <v>5</v>
      </c>
      <c r="AB43" s="57">
        <v>10</v>
      </c>
      <c r="AC43" s="162">
        <f t="shared" si="14"/>
        <v>69</v>
      </c>
      <c r="AD43" s="172">
        <f t="shared" si="15"/>
        <v>69</v>
      </c>
      <c r="AE43" s="165">
        <f t="shared" si="16"/>
        <v>34.5</v>
      </c>
      <c r="AF43" s="173">
        <v>26</v>
      </c>
      <c r="AG43" s="165">
        <f t="shared" si="17"/>
        <v>86.67</v>
      </c>
      <c r="AH43" s="174">
        <f t="shared" si="18"/>
        <v>17.329999999999998</v>
      </c>
      <c r="AI43" s="176">
        <f t="shared" si="19"/>
        <v>74.03</v>
      </c>
      <c r="AJ43" s="63">
        <f t="shared" si="20"/>
        <v>83</v>
      </c>
      <c r="AK43" s="2"/>
      <c r="AL43" s="4"/>
      <c r="AM43" s="2"/>
      <c r="AN43" s="3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12">
        <f t="shared" si="21"/>
        <v>100</v>
      </c>
    </row>
    <row r="44" spans="1:58" ht="18" customHeight="1">
      <c r="A44" s="134">
        <v>12</v>
      </c>
      <c r="B44" s="250" t="s">
        <v>133</v>
      </c>
      <c r="C44" s="251"/>
      <c r="D44" s="64"/>
      <c r="E44" s="65"/>
      <c r="F44" s="56">
        <v>7</v>
      </c>
      <c r="G44" s="56">
        <v>7</v>
      </c>
      <c r="H44" s="57">
        <v>8</v>
      </c>
      <c r="I44" s="57">
        <v>6</v>
      </c>
      <c r="J44" s="57">
        <v>7</v>
      </c>
      <c r="K44" s="56">
        <v>6</v>
      </c>
      <c r="L44" s="56">
        <v>8</v>
      </c>
      <c r="M44" s="57">
        <v>9</v>
      </c>
      <c r="N44" s="57">
        <v>9</v>
      </c>
      <c r="O44" s="57">
        <v>9</v>
      </c>
      <c r="P44" s="58">
        <f t="shared" si="11"/>
        <v>76</v>
      </c>
      <c r="Q44" s="59">
        <f t="shared" si="12"/>
        <v>76</v>
      </c>
      <c r="R44" s="60">
        <f t="shared" si="13"/>
        <v>22.8</v>
      </c>
      <c r="S44" s="61">
        <v>9</v>
      </c>
      <c r="T44" s="57">
        <v>7</v>
      </c>
      <c r="U44" s="57">
        <v>6</v>
      </c>
      <c r="V44" s="57">
        <v>7</v>
      </c>
      <c r="W44" s="57">
        <v>5</v>
      </c>
      <c r="X44" s="57">
        <v>5</v>
      </c>
      <c r="Y44" s="57">
        <v>6</v>
      </c>
      <c r="Z44" s="57">
        <v>6</v>
      </c>
      <c r="AA44" s="57">
        <v>6</v>
      </c>
      <c r="AB44" s="57">
        <v>10</v>
      </c>
      <c r="AC44" s="162">
        <f t="shared" si="14"/>
        <v>67</v>
      </c>
      <c r="AD44" s="172">
        <f t="shared" si="15"/>
        <v>67</v>
      </c>
      <c r="AE44" s="165">
        <f t="shared" si="16"/>
        <v>33.5</v>
      </c>
      <c r="AF44" s="173">
        <v>25</v>
      </c>
      <c r="AG44" s="165">
        <f t="shared" si="17"/>
        <v>83.33</v>
      </c>
      <c r="AH44" s="174">
        <f t="shared" si="18"/>
        <v>16.670000000000002</v>
      </c>
      <c r="AI44" s="176">
        <f t="shared" si="19"/>
        <v>72.97</v>
      </c>
      <c r="AJ44" s="63">
        <f t="shared" si="20"/>
        <v>83</v>
      </c>
      <c r="AK44" s="2"/>
      <c r="AL44" s="4"/>
      <c r="AM44" s="2"/>
      <c r="AN44" s="3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12">
        <f t="shared" si="21"/>
        <v>60</v>
      </c>
    </row>
    <row r="45" spans="1:58" ht="18" customHeight="1">
      <c r="A45" s="134">
        <v>13</v>
      </c>
      <c r="B45" s="250" t="s">
        <v>134</v>
      </c>
      <c r="C45" s="251"/>
      <c r="D45" s="64"/>
      <c r="E45" s="65"/>
      <c r="F45" s="56">
        <v>9</v>
      </c>
      <c r="G45" s="56">
        <v>8</v>
      </c>
      <c r="H45" s="57">
        <v>6</v>
      </c>
      <c r="I45" s="57">
        <v>6</v>
      </c>
      <c r="J45" s="57">
        <v>6</v>
      </c>
      <c r="K45" s="56">
        <v>6</v>
      </c>
      <c r="L45" s="56">
        <v>5</v>
      </c>
      <c r="M45" s="57">
        <v>5</v>
      </c>
      <c r="N45" s="57">
        <v>10</v>
      </c>
      <c r="O45" s="57">
        <v>10</v>
      </c>
      <c r="P45" s="58">
        <f t="shared" si="11"/>
        <v>71</v>
      </c>
      <c r="Q45" s="59">
        <f t="shared" si="12"/>
        <v>71</v>
      </c>
      <c r="R45" s="60">
        <f t="shared" si="13"/>
        <v>21.3</v>
      </c>
      <c r="S45" s="61">
        <v>6</v>
      </c>
      <c r="T45" s="57">
        <v>7</v>
      </c>
      <c r="U45" s="57">
        <v>8</v>
      </c>
      <c r="V45" s="57">
        <v>6</v>
      </c>
      <c r="W45" s="57">
        <v>7</v>
      </c>
      <c r="X45" s="57">
        <v>8</v>
      </c>
      <c r="Y45" s="57">
        <v>6</v>
      </c>
      <c r="Z45" s="57">
        <v>7</v>
      </c>
      <c r="AA45" s="57">
        <v>6</v>
      </c>
      <c r="AB45" s="57">
        <v>6</v>
      </c>
      <c r="AC45" s="162">
        <f t="shared" si="14"/>
        <v>67</v>
      </c>
      <c r="AD45" s="172">
        <f t="shared" si="15"/>
        <v>67</v>
      </c>
      <c r="AE45" s="165">
        <f t="shared" si="16"/>
        <v>33.5</v>
      </c>
      <c r="AF45" s="173">
        <v>28</v>
      </c>
      <c r="AG45" s="165">
        <f t="shared" si="17"/>
        <v>93.33</v>
      </c>
      <c r="AH45" s="174">
        <f t="shared" si="18"/>
        <v>18.670000000000002</v>
      </c>
      <c r="AI45" s="176">
        <f t="shared" si="19"/>
        <v>73.47</v>
      </c>
      <c r="AJ45" s="63">
        <f t="shared" si="20"/>
        <v>83</v>
      </c>
      <c r="AK45" s="2"/>
      <c r="AL45" s="4"/>
      <c r="AM45" s="2"/>
      <c r="AN45" s="3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12">
        <f t="shared" si="21"/>
        <v>66.666666666666657</v>
      </c>
    </row>
    <row r="46" spans="1:58" ht="18" customHeight="1">
      <c r="A46" s="134">
        <v>14</v>
      </c>
      <c r="B46" s="250" t="s">
        <v>135</v>
      </c>
      <c r="C46" s="251"/>
      <c r="D46" s="64"/>
      <c r="E46" s="65"/>
      <c r="F46" s="56">
        <v>9</v>
      </c>
      <c r="G46" s="56">
        <v>9</v>
      </c>
      <c r="H46" s="57">
        <v>8</v>
      </c>
      <c r="I46" s="57">
        <v>8</v>
      </c>
      <c r="J46" s="57">
        <v>6</v>
      </c>
      <c r="K46" s="56">
        <v>6</v>
      </c>
      <c r="L46" s="56">
        <v>6</v>
      </c>
      <c r="M46" s="57">
        <v>8</v>
      </c>
      <c r="N46" s="57">
        <v>10</v>
      </c>
      <c r="O46" s="57">
        <v>10</v>
      </c>
      <c r="P46" s="58">
        <f t="shared" si="11"/>
        <v>80</v>
      </c>
      <c r="Q46" s="59">
        <f t="shared" si="12"/>
        <v>80</v>
      </c>
      <c r="R46" s="60">
        <f t="shared" si="13"/>
        <v>24</v>
      </c>
      <c r="S46" s="61">
        <v>10</v>
      </c>
      <c r="T46" s="57">
        <v>10</v>
      </c>
      <c r="U46" s="57">
        <v>10</v>
      </c>
      <c r="V46" s="57">
        <v>8</v>
      </c>
      <c r="W46" s="57">
        <v>6</v>
      </c>
      <c r="X46" s="57">
        <v>6</v>
      </c>
      <c r="Y46" s="57">
        <v>5</v>
      </c>
      <c r="Z46" s="57">
        <v>8</v>
      </c>
      <c r="AA46" s="57">
        <v>6</v>
      </c>
      <c r="AB46" s="57">
        <v>10</v>
      </c>
      <c r="AC46" s="162">
        <f t="shared" si="14"/>
        <v>79</v>
      </c>
      <c r="AD46" s="172">
        <f t="shared" si="15"/>
        <v>79</v>
      </c>
      <c r="AE46" s="165">
        <f t="shared" si="16"/>
        <v>39.5</v>
      </c>
      <c r="AF46" s="173">
        <v>27</v>
      </c>
      <c r="AG46" s="165">
        <f t="shared" si="17"/>
        <v>90</v>
      </c>
      <c r="AH46" s="174">
        <f t="shared" si="18"/>
        <v>18</v>
      </c>
      <c r="AI46" s="176">
        <f t="shared" si="19"/>
        <v>81.5</v>
      </c>
      <c r="AJ46" s="63">
        <f t="shared" si="20"/>
        <v>88</v>
      </c>
      <c r="AK46" s="2"/>
      <c r="AL46" s="4"/>
      <c r="AM46" s="2"/>
      <c r="AN46" s="3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12">
        <f t="shared" si="21"/>
        <v>60</v>
      </c>
    </row>
    <row r="47" spans="1:58" ht="18" customHeight="1">
      <c r="A47" s="134">
        <v>15</v>
      </c>
      <c r="B47" s="250" t="s">
        <v>136</v>
      </c>
      <c r="C47" s="251"/>
      <c r="D47" s="64"/>
      <c r="E47" s="65"/>
      <c r="F47" s="56">
        <v>10</v>
      </c>
      <c r="G47" s="56">
        <v>10</v>
      </c>
      <c r="H47" s="57">
        <v>6</v>
      </c>
      <c r="I47" s="57">
        <v>6</v>
      </c>
      <c r="J47" s="57">
        <v>6</v>
      </c>
      <c r="K47" s="56">
        <v>7</v>
      </c>
      <c r="L47" s="56">
        <v>6</v>
      </c>
      <c r="M47" s="57">
        <v>8</v>
      </c>
      <c r="N47" s="57">
        <v>9</v>
      </c>
      <c r="O47" s="57">
        <v>7</v>
      </c>
      <c r="P47" s="58">
        <f t="shared" si="11"/>
        <v>75</v>
      </c>
      <c r="Q47" s="59">
        <f t="shared" si="12"/>
        <v>75</v>
      </c>
      <c r="R47" s="60">
        <f t="shared" si="13"/>
        <v>22.5</v>
      </c>
      <c r="S47" s="61">
        <v>10</v>
      </c>
      <c r="T47" s="57">
        <v>8</v>
      </c>
      <c r="U47" s="57">
        <v>8</v>
      </c>
      <c r="V47" s="57">
        <v>5</v>
      </c>
      <c r="W47" s="57">
        <v>6</v>
      </c>
      <c r="X47" s="57">
        <v>10</v>
      </c>
      <c r="Y47" s="57">
        <v>7</v>
      </c>
      <c r="Z47" s="57">
        <v>10</v>
      </c>
      <c r="AA47" s="57">
        <v>6</v>
      </c>
      <c r="AB47" s="57">
        <v>6</v>
      </c>
      <c r="AC47" s="162">
        <f t="shared" si="14"/>
        <v>76</v>
      </c>
      <c r="AD47" s="172">
        <f t="shared" si="15"/>
        <v>76</v>
      </c>
      <c r="AE47" s="165">
        <f t="shared" si="16"/>
        <v>38</v>
      </c>
      <c r="AF47" s="173">
        <v>23</v>
      </c>
      <c r="AG47" s="165">
        <f t="shared" si="17"/>
        <v>76.67</v>
      </c>
      <c r="AH47" s="174">
        <f t="shared" si="18"/>
        <v>15.33</v>
      </c>
      <c r="AI47" s="176">
        <f t="shared" si="19"/>
        <v>75.83</v>
      </c>
      <c r="AJ47" s="63">
        <f t="shared" si="20"/>
        <v>84</v>
      </c>
      <c r="AK47" s="2"/>
      <c r="AL47" s="4"/>
      <c r="AM47" s="2"/>
      <c r="AN47" s="3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12">
        <f t="shared" si="21"/>
        <v>90</v>
      </c>
    </row>
    <row r="48" spans="1:58" ht="18" customHeight="1">
      <c r="A48" s="134">
        <v>16</v>
      </c>
      <c r="B48" s="250" t="s">
        <v>137</v>
      </c>
      <c r="C48" s="251"/>
      <c r="D48" s="64"/>
      <c r="E48" s="65"/>
      <c r="F48" s="56">
        <v>10</v>
      </c>
      <c r="G48" s="56">
        <v>9</v>
      </c>
      <c r="H48" s="57">
        <v>8</v>
      </c>
      <c r="I48" s="57">
        <v>6</v>
      </c>
      <c r="J48" s="57">
        <v>6</v>
      </c>
      <c r="K48" s="56">
        <v>6</v>
      </c>
      <c r="L48" s="56">
        <v>10</v>
      </c>
      <c r="M48" s="57">
        <v>7</v>
      </c>
      <c r="N48" s="57">
        <v>7</v>
      </c>
      <c r="O48" s="57">
        <v>7</v>
      </c>
      <c r="P48" s="58">
        <f t="shared" si="11"/>
        <v>76</v>
      </c>
      <c r="Q48" s="59">
        <f t="shared" si="12"/>
        <v>76</v>
      </c>
      <c r="R48" s="60">
        <f t="shared" si="13"/>
        <v>22.8</v>
      </c>
      <c r="S48" s="61">
        <v>9</v>
      </c>
      <c r="T48" s="57">
        <v>8</v>
      </c>
      <c r="U48" s="57">
        <v>7</v>
      </c>
      <c r="V48" s="57">
        <v>6</v>
      </c>
      <c r="W48" s="57">
        <v>6</v>
      </c>
      <c r="X48" s="57">
        <v>6</v>
      </c>
      <c r="Y48" s="57">
        <v>8</v>
      </c>
      <c r="Z48" s="57">
        <v>7</v>
      </c>
      <c r="AA48" s="57">
        <v>6</v>
      </c>
      <c r="AB48" s="57">
        <v>6</v>
      </c>
      <c r="AC48" s="162">
        <f t="shared" si="14"/>
        <v>69</v>
      </c>
      <c r="AD48" s="172">
        <f t="shared" si="15"/>
        <v>69</v>
      </c>
      <c r="AE48" s="165">
        <f t="shared" si="16"/>
        <v>34.5</v>
      </c>
      <c r="AF48" s="173">
        <v>25</v>
      </c>
      <c r="AG48" s="165">
        <f t="shared" si="17"/>
        <v>83.33</v>
      </c>
      <c r="AH48" s="174">
        <f t="shared" si="18"/>
        <v>16.670000000000002</v>
      </c>
      <c r="AI48" s="176">
        <f t="shared" si="19"/>
        <v>73.97</v>
      </c>
      <c r="AJ48" s="63">
        <f t="shared" si="20"/>
        <v>83</v>
      </c>
      <c r="AK48" s="2"/>
      <c r="AL48" s="4"/>
      <c r="AM48" s="2"/>
      <c r="AN48" s="3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12">
        <f t="shared" si="21"/>
        <v>86.666666666666671</v>
      </c>
    </row>
    <row r="49" spans="1:58" ht="18" customHeight="1">
      <c r="A49" s="134">
        <v>17</v>
      </c>
      <c r="B49" s="250" t="s">
        <v>138</v>
      </c>
      <c r="C49" s="251"/>
      <c r="D49" s="64"/>
      <c r="E49" s="65"/>
      <c r="F49" s="56">
        <v>6</v>
      </c>
      <c r="G49" s="56">
        <v>6</v>
      </c>
      <c r="H49" s="57">
        <v>8</v>
      </c>
      <c r="I49" s="57">
        <v>6</v>
      </c>
      <c r="J49" s="57">
        <v>6</v>
      </c>
      <c r="K49" s="56">
        <v>8</v>
      </c>
      <c r="L49" s="56">
        <v>9</v>
      </c>
      <c r="M49" s="57">
        <v>9</v>
      </c>
      <c r="N49" s="57">
        <v>7</v>
      </c>
      <c r="O49" s="57">
        <v>7</v>
      </c>
      <c r="P49" s="58">
        <f t="shared" si="11"/>
        <v>72</v>
      </c>
      <c r="Q49" s="59">
        <f t="shared" si="12"/>
        <v>72</v>
      </c>
      <c r="R49" s="60">
        <f t="shared" si="13"/>
        <v>21.6</v>
      </c>
      <c r="S49" s="61">
        <v>6</v>
      </c>
      <c r="T49" s="57">
        <v>7</v>
      </c>
      <c r="U49" s="57">
        <v>6</v>
      </c>
      <c r="V49" s="57">
        <v>7</v>
      </c>
      <c r="W49" s="57">
        <v>6</v>
      </c>
      <c r="X49" s="57">
        <v>8</v>
      </c>
      <c r="Y49" s="57">
        <v>6</v>
      </c>
      <c r="Z49" s="57">
        <v>6</v>
      </c>
      <c r="AA49" s="57">
        <v>6</v>
      </c>
      <c r="AB49" s="57">
        <v>7</v>
      </c>
      <c r="AC49" s="162">
        <f t="shared" si="14"/>
        <v>65</v>
      </c>
      <c r="AD49" s="172">
        <f t="shared" si="15"/>
        <v>65</v>
      </c>
      <c r="AE49" s="165">
        <f t="shared" si="16"/>
        <v>32.5</v>
      </c>
      <c r="AF49" s="173">
        <v>26</v>
      </c>
      <c r="AG49" s="165">
        <f t="shared" si="17"/>
        <v>86.67</v>
      </c>
      <c r="AH49" s="174">
        <f t="shared" si="18"/>
        <v>17.329999999999998</v>
      </c>
      <c r="AI49" s="176">
        <f t="shared" si="19"/>
        <v>71.430000000000007</v>
      </c>
      <c r="AJ49" s="63">
        <f t="shared" si="20"/>
        <v>82</v>
      </c>
      <c r="AK49" s="2"/>
      <c r="AL49" s="4"/>
      <c r="AM49" s="2"/>
      <c r="AN49" s="3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12">
        <f t="shared" si="21"/>
        <v>86.666666666666671</v>
      </c>
    </row>
    <row r="50" spans="1:58" ht="18" customHeight="1">
      <c r="A50" s="134">
        <v>18</v>
      </c>
      <c r="B50" s="250" t="s">
        <v>139</v>
      </c>
      <c r="C50" s="251"/>
      <c r="D50" s="64"/>
      <c r="E50" s="65"/>
      <c r="F50" s="56">
        <v>10</v>
      </c>
      <c r="G50" s="56">
        <v>10</v>
      </c>
      <c r="H50" s="57">
        <v>10</v>
      </c>
      <c r="I50" s="57">
        <v>10</v>
      </c>
      <c r="J50" s="57">
        <v>9</v>
      </c>
      <c r="K50" s="56">
        <v>8</v>
      </c>
      <c r="L50" s="56">
        <v>7</v>
      </c>
      <c r="M50" s="57">
        <v>9</v>
      </c>
      <c r="N50" s="57">
        <v>7</v>
      </c>
      <c r="O50" s="57">
        <v>8</v>
      </c>
      <c r="P50" s="58">
        <f t="shared" si="11"/>
        <v>88</v>
      </c>
      <c r="Q50" s="59">
        <f t="shared" si="12"/>
        <v>88</v>
      </c>
      <c r="R50" s="60">
        <f t="shared" si="13"/>
        <v>26.4</v>
      </c>
      <c r="S50" s="61">
        <v>8</v>
      </c>
      <c r="T50" s="57">
        <v>7</v>
      </c>
      <c r="U50" s="57">
        <v>6</v>
      </c>
      <c r="V50" s="57">
        <v>7</v>
      </c>
      <c r="W50" s="57">
        <v>5</v>
      </c>
      <c r="X50" s="57">
        <v>5</v>
      </c>
      <c r="Y50" s="57">
        <v>5</v>
      </c>
      <c r="Z50" s="57">
        <v>6</v>
      </c>
      <c r="AA50" s="57">
        <v>6</v>
      </c>
      <c r="AB50" s="57">
        <v>6</v>
      </c>
      <c r="AC50" s="162">
        <f t="shared" si="14"/>
        <v>61</v>
      </c>
      <c r="AD50" s="172">
        <f t="shared" si="15"/>
        <v>61</v>
      </c>
      <c r="AE50" s="165">
        <f t="shared" si="16"/>
        <v>30.5</v>
      </c>
      <c r="AF50" s="173">
        <v>26</v>
      </c>
      <c r="AG50" s="165">
        <f t="shared" si="17"/>
        <v>86.67</v>
      </c>
      <c r="AH50" s="174">
        <f t="shared" si="18"/>
        <v>17.329999999999998</v>
      </c>
      <c r="AI50" s="176">
        <f t="shared" si="19"/>
        <v>74.23</v>
      </c>
      <c r="AJ50" s="63">
        <f t="shared" si="20"/>
        <v>83</v>
      </c>
      <c r="AK50" s="2"/>
      <c r="AL50" s="4"/>
      <c r="AM50" s="2"/>
      <c r="AN50" s="3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12">
        <f t="shared" si="21"/>
        <v>83.333333333333343</v>
      </c>
    </row>
    <row r="51" spans="1:58" ht="18" customHeight="1" thickBot="1">
      <c r="A51" s="135">
        <v>19</v>
      </c>
      <c r="B51" s="250" t="s">
        <v>140</v>
      </c>
      <c r="C51" s="251"/>
      <c r="D51" s="126"/>
      <c r="E51" s="127"/>
      <c r="F51" s="141">
        <v>9</v>
      </c>
      <c r="G51" s="141">
        <v>8</v>
      </c>
      <c r="H51" s="136">
        <v>7</v>
      </c>
      <c r="I51" s="136">
        <v>7</v>
      </c>
      <c r="J51" s="136">
        <v>7</v>
      </c>
      <c r="K51" s="141">
        <v>8</v>
      </c>
      <c r="L51" s="141">
        <v>8</v>
      </c>
      <c r="M51" s="136">
        <v>9</v>
      </c>
      <c r="N51" s="136">
        <v>7</v>
      </c>
      <c r="O51" s="136">
        <v>8</v>
      </c>
      <c r="P51" s="128">
        <f t="shared" si="11"/>
        <v>78</v>
      </c>
      <c r="Q51" s="129">
        <f t="shared" si="12"/>
        <v>78</v>
      </c>
      <c r="R51" s="130">
        <f t="shared" si="13"/>
        <v>23.4</v>
      </c>
      <c r="S51" s="61">
        <v>9</v>
      </c>
      <c r="T51" s="57">
        <v>8</v>
      </c>
      <c r="U51" s="57">
        <v>5</v>
      </c>
      <c r="V51" s="57">
        <v>6</v>
      </c>
      <c r="W51" s="57">
        <v>8</v>
      </c>
      <c r="X51" s="57">
        <v>6</v>
      </c>
      <c r="Y51" s="57">
        <v>6</v>
      </c>
      <c r="Z51" s="57">
        <v>6</v>
      </c>
      <c r="AA51" s="57">
        <v>6</v>
      </c>
      <c r="AB51" s="57">
        <v>6</v>
      </c>
      <c r="AC51" s="166">
        <f t="shared" si="14"/>
        <v>66</v>
      </c>
      <c r="AD51" s="7">
        <f t="shared" si="15"/>
        <v>66</v>
      </c>
      <c r="AE51" s="167">
        <f t="shared" si="16"/>
        <v>33</v>
      </c>
      <c r="AF51" s="186">
        <v>25</v>
      </c>
      <c r="AG51" s="167">
        <f t="shared" si="17"/>
        <v>83.33</v>
      </c>
      <c r="AH51" s="187">
        <f t="shared" si="18"/>
        <v>16.670000000000002</v>
      </c>
      <c r="AI51" s="188">
        <f t="shared" si="19"/>
        <v>73.069999999999993</v>
      </c>
      <c r="AJ51" s="132">
        <f t="shared" si="20"/>
        <v>83</v>
      </c>
      <c r="AK51" s="2"/>
      <c r="AL51" s="4"/>
      <c r="AM51" s="2"/>
      <c r="AN51" s="3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12">
        <f t="shared" si="21"/>
        <v>93.333333333333329</v>
      </c>
    </row>
    <row r="52" spans="1:58" ht="18" customHeight="1" thickBot="1">
      <c r="A52" s="144">
        <v>20</v>
      </c>
      <c r="B52" s="252" t="s">
        <v>141</v>
      </c>
      <c r="C52" s="253"/>
      <c r="D52" s="160"/>
      <c r="E52" s="160"/>
      <c r="F52" s="189">
        <v>9</v>
      </c>
      <c r="G52" s="189">
        <v>9</v>
      </c>
      <c r="H52" s="189">
        <v>10</v>
      </c>
      <c r="I52" s="189">
        <v>9</v>
      </c>
      <c r="J52" s="189">
        <v>9</v>
      </c>
      <c r="K52" s="189">
        <v>9</v>
      </c>
      <c r="L52" s="189">
        <v>9</v>
      </c>
      <c r="M52" s="189">
        <v>9</v>
      </c>
      <c r="N52" s="189">
        <v>8</v>
      </c>
      <c r="O52" s="189">
        <v>8</v>
      </c>
      <c r="P52" s="190">
        <f t="shared" si="11"/>
        <v>89</v>
      </c>
      <c r="Q52" s="191">
        <f t="shared" si="12"/>
        <v>89</v>
      </c>
      <c r="R52" s="191">
        <f t="shared" si="13"/>
        <v>26.7</v>
      </c>
      <c r="S52" s="61">
        <v>10</v>
      </c>
      <c r="T52" s="57">
        <v>10</v>
      </c>
      <c r="U52" s="57">
        <v>6</v>
      </c>
      <c r="V52" s="57">
        <v>6</v>
      </c>
      <c r="W52" s="57">
        <v>6</v>
      </c>
      <c r="X52" s="57">
        <v>5</v>
      </c>
      <c r="Y52" s="57">
        <v>5</v>
      </c>
      <c r="Z52" s="57">
        <v>6</v>
      </c>
      <c r="AA52" s="57">
        <v>6</v>
      </c>
      <c r="AB52" s="57">
        <v>10</v>
      </c>
      <c r="AC52" s="185">
        <f t="shared" si="14"/>
        <v>70</v>
      </c>
      <c r="AD52" s="191">
        <f t="shared" si="15"/>
        <v>70</v>
      </c>
      <c r="AE52" s="191">
        <f t="shared" si="16"/>
        <v>35</v>
      </c>
      <c r="AF52" s="192">
        <v>26</v>
      </c>
      <c r="AG52" s="191">
        <f t="shared" si="17"/>
        <v>86.67</v>
      </c>
      <c r="AH52" s="193">
        <f t="shared" si="18"/>
        <v>17.329999999999998</v>
      </c>
      <c r="AI52" s="194">
        <f t="shared" si="19"/>
        <v>79.03</v>
      </c>
      <c r="AJ52" s="195">
        <f t="shared" si="20"/>
        <v>86</v>
      </c>
      <c r="AK52" s="2"/>
      <c r="AL52" s="4"/>
      <c r="AM52" s="2"/>
      <c r="AN52" s="3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12">
        <f t="shared" si="21"/>
        <v>90</v>
      </c>
    </row>
    <row r="53" spans="1:58" ht="18" customHeight="1">
      <c r="AK53" s="2"/>
      <c r="AL53" s="4"/>
      <c r="AM53" s="2"/>
      <c r="AN53" s="3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12">
        <f t="shared" si="21"/>
        <v>76.666666666666671</v>
      </c>
    </row>
    <row r="54" spans="1:58" ht="18" customHeight="1">
      <c r="AK54" s="2"/>
      <c r="AL54" s="4"/>
      <c r="AM54" s="2"/>
      <c r="AN54" s="3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12">
        <f t="shared" si="21"/>
        <v>83.333333333333343</v>
      </c>
    </row>
    <row r="55" spans="1:58" ht="18" customHeight="1">
      <c r="A55" s="2"/>
      <c r="B55" s="4"/>
      <c r="C55" s="2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12"/>
    </row>
    <row r="56" spans="1:58" ht="18" customHeight="1">
      <c r="A56" s="2"/>
      <c r="B56" s="4"/>
      <c r="C56" s="2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12"/>
    </row>
    <row r="57" spans="1:58" ht="18" customHeight="1">
      <c r="AG57" s="198"/>
      <c r="AK57" s="2"/>
      <c r="AL57" s="4"/>
      <c r="AM57" s="2"/>
      <c r="AN57" s="3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12">
        <f>(AF51/$AF$10)*100</f>
        <v>83.333333333333343</v>
      </c>
    </row>
    <row r="58" spans="1:58" ht="18" customHeight="1">
      <c r="AK58" s="2"/>
      <c r="AL58" s="4"/>
      <c r="AM58" s="2"/>
      <c r="AN58" s="3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12">
        <f>(AF52/$AF$10)*100</f>
        <v>86.666666666666671</v>
      </c>
    </row>
    <row r="59" spans="1:58" ht="17.45" customHeight="1">
      <c r="AK59" s="2"/>
      <c r="AL59" s="2"/>
      <c r="AM59" s="2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2"/>
      <c r="BF59" s="2"/>
    </row>
  </sheetData>
  <mergeCells count="70">
    <mergeCell ref="B51:C51"/>
    <mergeCell ref="B52:C52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0:C30"/>
    <mergeCell ref="B31:C31"/>
    <mergeCell ref="B33:C33"/>
    <mergeCell ref="B34:C34"/>
    <mergeCell ref="B35:C35"/>
    <mergeCell ref="B25:C25"/>
    <mergeCell ref="B26:C26"/>
    <mergeCell ref="B27:C27"/>
    <mergeCell ref="B28:C28"/>
    <mergeCell ref="B29:C29"/>
    <mergeCell ref="B20:C20"/>
    <mergeCell ref="B21:C21"/>
    <mergeCell ref="B22:C22"/>
    <mergeCell ref="B23:C23"/>
    <mergeCell ref="B24:C24"/>
    <mergeCell ref="AG5:AI5"/>
    <mergeCell ref="A1:AJ2"/>
    <mergeCell ref="A3:AJ3"/>
    <mergeCell ref="C4:F4"/>
    <mergeCell ref="G4:J4"/>
    <mergeCell ref="L4:N4"/>
    <mergeCell ref="O4:R4"/>
    <mergeCell ref="T4:W4"/>
    <mergeCell ref="X4:AC4"/>
    <mergeCell ref="AC7:AF7"/>
    <mergeCell ref="B5:F5"/>
    <mergeCell ref="G5:R5"/>
    <mergeCell ref="T5:W5"/>
    <mergeCell ref="X5:AC5"/>
    <mergeCell ref="AD5:AF5"/>
    <mergeCell ref="AL13:AM13"/>
    <mergeCell ref="B14:C14"/>
    <mergeCell ref="B15:C15"/>
    <mergeCell ref="AG7:AJ7"/>
    <mergeCell ref="B8:E8"/>
    <mergeCell ref="F8:R8"/>
    <mergeCell ref="S8:AE8"/>
    <mergeCell ref="AF8:AH8"/>
    <mergeCell ref="AI9:AI10"/>
    <mergeCell ref="AJ9:AJ10"/>
    <mergeCell ref="B10:E10"/>
    <mergeCell ref="A7:E7"/>
    <mergeCell ref="F7:J7"/>
    <mergeCell ref="K7:P7"/>
    <mergeCell ref="Q7:R7"/>
    <mergeCell ref="S7:AB7"/>
    <mergeCell ref="B16:C16"/>
    <mergeCell ref="B19:C19"/>
    <mergeCell ref="B11:E11"/>
    <mergeCell ref="B12:C12"/>
    <mergeCell ref="B13:C13"/>
    <mergeCell ref="B17:C17"/>
    <mergeCell ref="B18:C18"/>
  </mergeCells>
  <dataValidations xWindow="733" yWindow="802" count="2">
    <dataValidation type="decimal" operator="lessThanOrEqual" allowBlank="1" showInputMessage="1" showErrorMessage="1" prompt="Encode learner's raw score." sqref="F12:P31 S12:AB31 F33:O52 S33:AB52" xr:uid="{F4DA5497-9ADD-409E-9D1D-48C79E04A9C9}">
      <formula1>F$10</formula1>
    </dataValidation>
    <dataValidation type="decimal" operator="lessThanOrEqual" allowBlank="1" showInputMessage="1" showErrorMessage="1" prompt="Encode learner's raw score" sqref="AF33:AF52 AF12:AF31" xr:uid="{6D434932-CD41-47C0-B2C7-3E044D4D8715}">
      <formula1>$AF$10</formula1>
    </dataValidation>
  </dataValidations>
  <pageMargins left="0.70866141732283472" right="0.70866141732283472" top="0.74803149606299213" bottom="0.74803149606299213" header="0.31496062992125984" footer="0.31496062992125984"/>
  <pageSetup paperSize="14" scale="60" fitToHeight="0" orientation="landscape" r:id="rId1"/>
  <colBreaks count="1" manualBreakCount="1">
    <brk id="36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53BF-A096-4EFE-A08D-074BD7E18BF3}">
  <sheetPr>
    <tabColor rgb="FFFF9933"/>
    <pageSetUpPr fitToPage="1"/>
  </sheetPr>
  <dimension ref="A1:BF59"/>
  <sheetViews>
    <sheetView showGridLines="0" topLeftCell="A26" zoomScale="102" zoomScaleNormal="102" workbookViewId="0">
      <selection activeCell="W46" sqref="W46"/>
    </sheetView>
  </sheetViews>
  <sheetFormatPr defaultColWidth="14.42578125" defaultRowHeight="15" customHeight="1"/>
  <cols>
    <col min="1" max="1" width="4.140625" customWidth="1"/>
    <col min="2" max="2" width="28.7109375" customWidth="1"/>
    <col min="3" max="3" width="3.28515625" customWidth="1"/>
    <col min="4" max="4" width="3.28515625" hidden="1" customWidth="1"/>
    <col min="5" max="5" width="1" hidden="1" customWidth="1"/>
    <col min="6" max="15" width="4.42578125" customWidth="1"/>
    <col min="16" max="16" width="6.28515625" customWidth="1"/>
    <col min="17" max="17" width="8.5703125" customWidth="1"/>
    <col min="18" max="18" width="7.140625" customWidth="1"/>
    <col min="19" max="28" width="4.42578125" customWidth="1"/>
    <col min="29" max="29" width="6.28515625" customWidth="1"/>
    <col min="30" max="31" width="7.140625" customWidth="1"/>
    <col min="32" max="32" width="6.28515625" customWidth="1"/>
    <col min="33" max="34" width="7.140625" customWidth="1"/>
    <col min="35" max="36" width="10.28515625" customWidth="1"/>
    <col min="37" max="37" width="4.7109375" customWidth="1"/>
    <col min="38" max="38" width="24.7109375" customWidth="1"/>
    <col min="39" max="39" width="8.140625" customWidth="1"/>
    <col min="40" max="57" width="4.7109375" customWidth="1"/>
    <col min="58" max="58" width="4.7109375" hidden="1" customWidth="1"/>
  </cols>
  <sheetData>
    <row r="1" spans="1:58" ht="15" customHeight="1">
      <c r="A1" s="241" t="s">
        <v>12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"/>
      <c r="AL1" s="2"/>
      <c r="AM1" s="2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2"/>
      <c r="BF1" s="2"/>
    </row>
    <row r="2" spans="1:58" ht="15" customHeight="1">
      <c r="A2" s="233"/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"/>
      <c r="AL2" s="2"/>
      <c r="AM2" s="2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2"/>
      <c r="BF2" s="2"/>
    </row>
    <row r="3" spans="1:58" ht="15" customHeight="1">
      <c r="A3" s="242" t="s">
        <v>13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"/>
      <c r="AL3" s="2"/>
      <c r="AM3" s="2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2"/>
      <c r="BF3" s="2"/>
    </row>
    <row r="4" spans="1:58" ht="21" customHeight="1">
      <c r="A4" s="4"/>
      <c r="B4" s="5"/>
      <c r="C4" s="232" t="s">
        <v>0</v>
      </c>
      <c r="D4" s="233"/>
      <c r="E4" s="233"/>
      <c r="F4" s="233"/>
      <c r="G4" s="243" t="s">
        <v>93</v>
      </c>
      <c r="H4" s="235"/>
      <c r="I4" s="235"/>
      <c r="J4" s="236"/>
      <c r="K4" s="19"/>
      <c r="L4" s="244" t="s">
        <v>1</v>
      </c>
      <c r="M4" s="245"/>
      <c r="N4" s="245"/>
      <c r="O4" s="243" t="s">
        <v>95</v>
      </c>
      <c r="P4" s="235"/>
      <c r="Q4" s="235"/>
      <c r="R4" s="236"/>
      <c r="S4" s="20"/>
      <c r="T4" s="237" t="s">
        <v>2</v>
      </c>
      <c r="U4" s="233"/>
      <c r="V4" s="233"/>
      <c r="W4" s="233"/>
      <c r="X4" s="243" t="s">
        <v>94</v>
      </c>
      <c r="Y4" s="235"/>
      <c r="Z4" s="235"/>
      <c r="AA4" s="235"/>
      <c r="AB4" s="235"/>
      <c r="AC4" s="236"/>
      <c r="AD4" s="21"/>
      <c r="AE4" s="22"/>
      <c r="AF4" s="20"/>
      <c r="AG4" s="20"/>
      <c r="AH4" s="20"/>
      <c r="AI4" s="20"/>
      <c r="AJ4" s="6"/>
      <c r="AK4" s="6"/>
      <c r="AL4" s="6"/>
      <c r="AM4" s="6"/>
      <c r="AN4" s="6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2"/>
      <c r="BF4" s="2"/>
    </row>
    <row r="5" spans="1:58" ht="21.75" customHeight="1">
      <c r="A5" s="4"/>
      <c r="B5" s="232" t="s">
        <v>3</v>
      </c>
      <c r="C5" s="233"/>
      <c r="D5" s="233"/>
      <c r="E5" s="233"/>
      <c r="F5" s="233"/>
      <c r="G5" s="234" t="s">
        <v>70</v>
      </c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6"/>
      <c r="S5" s="19"/>
      <c r="T5" s="237" t="s">
        <v>4</v>
      </c>
      <c r="U5" s="233"/>
      <c r="V5" s="233"/>
      <c r="W5" s="233"/>
      <c r="X5" s="238">
        <v>136632</v>
      </c>
      <c r="Y5" s="235"/>
      <c r="Z5" s="235"/>
      <c r="AA5" s="235"/>
      <c r="AB5" s="235"/>
      <c r="AC5" s="236"/>
      <c r="AD5" s="239" t="s">
        <v>5</v>
      </c>
      <c r="AE5" s="233"/>
      <c r="AF5" s="240"/>
      <c r="AG5" s="234" t="s">
        <v>98</v>
      </c>
      <c r="AH5" s="235"/>
      <c r="AI5" s="236"/>
      <c r="AJ5" s="8"/>
      <c r="AK5" s="6"/>
      <c r="AL5" s="6"/>
      <c r="AM5" s="6"/>
      <c r="AN5" s="6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2"/>
      <c r="BF5" s="2"/>
    </row>
    <row r="6" spans="1:58" ht="13.5" customHeight="1" thickBo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7"/>
      <c r="R6" s="7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7"/>
      <c r="AE6" s="7"/>
      <c r="AF6" s="4"/>
      <c r="AG6" s="7"/>
      <c r="AH6" s="7"/>
      <c r="AI6" s="7"/>
      <c r="AJ6" s="9"/>
      <c r="AK6" s="2"/>
      <c r="AL6" s="2"/>
      <c r="AM6" s="2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2"/>
      <c r="BF6" s="2"/>
    </row>
    <row r="7" spans="1:58" ht="23.25" customHeight="1" thickBot="1">
      <c r="A7" s="228" t="s">
        <v>6</v>
      </c>
      <c r="B7" s="209"/>
      <c r="C7" s="209"/>
      <c r="D7" s="209"/>
      <c r="E7" s="210"/>
      <c r="F7" s="229" t="s">
        <v>7</v>
      </c>
      <c r="G7" s="209"/>
      <c r="H7" s="209"/>
      <c r="I7" s="209"/>
      <c r="J7" s="209"/>
      <c r="K7" s="215"/>
      <c r="L7" s="209"/>
      <c r="M7" s="209"/>
      <c r="N7" s="209"/>
      <c r="O7" s="209"/>
      <c r="P7" s="210"/>
      <c r="Q7" s="230" t="s">
        <v>8</v>
      </c>
      <c r="R7" s="209"/>
      <c r="S7" s="215"/>
      <c r="T7" s="209"/>
      <c r="U7" s="209"/>
      <c r="V7" s="209"/>
      <c r="W7" s="209"/>
      <c r="X7" s="209"/>
      <c r="Y7" s="209"/>
      <c r="Z7" s="209"/>
      <c r="AA7" s="209"/>
      <c r="AB7" s="210"/>
      <c r="AC7" s="231" t="s">
        <v>14</v>
      </c>
      <c r="AD7" s="209"/>
      <c r="AE7" s="209"/>
      <c r="AF7" s="209"/>
      <c r="AG7" s="254" t="s">
        <v>99</v>
      </c>
      <c r="AH7" s="209"/>
      <c r="AI7" s="209"/>
      <c r="AJ7" s="210"/>
      <c r="AK7" s="2"/>
      <c r="AL7" s="2"/>
      <c r="AM7" s="2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2"/>
      <c r="BF7" s="2"/>
    </row>
    <row r="8" spans="1:58" ht="55.5" customHeight="1" thickBot="1">
      <c r="A8" s="10"/>
      <c r="B8" s="216" t="s">
        <v>9</v>
      </c>
      <c r="C8" s="217"/>
      <c r="D8" s="217"/>
      <c r="E8" s="218"/>
      <c r="F8" s="219" t="s">
        <v>16</v>
      </c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20"/>
      <c r="S8" s="221" t="s">
        <v>17</v>
      </c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20"/>
      <c r="AF8" s="222" t="s">
        <v>18</v>
      </c>
      <c r="AG8" s="209"/>
      <c r="AH8" s="220"/>
      <c r="AI8" s="23" t="s">
        <v>19</v>
      </c>
      <c r="AJ8" s="24" t="s">
        <v>20</v>
      </c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</row>
    <row r="9" spans="1:58" ht="18" customHeight="1" thickBot="1">
      <c r="A9" s="25"/>
      <c r="B9" s="26"/>
      <c r="C9" s="26"/>
      <c r="D9" s="26"/>
      <c r="E9" s="27"/>
      <c r="F9" s="28">
        <v>1</v>
      </c>
      <c r="G9" s="29">
        <v>2</v>
      </c>
      <c r="H9" s="29">
        <v>3</v>
      </c>
      <c r="I9" s="29">
        <v>4</v>
      </c>
      <c r="J9" s="29">
        <v>5</v>
      </c>
      <c r="K9" s="29">
        <v>6</v>
      </c>
      <c r="L9" s="29">
        <v>7</v>
      </c>
      <c r="M9" s="29">
        <v>8</v>
      </c>
      <c r="N9" s="29">
        <v>9</v>
      </c>
      <c r="O9" s="30">
        <v>10</v>
      </c>
      <c r="P9" s="25" t="s">
        <v>21</v>
      </c>
      <c r="Q9" s="31" t="s">
        <v>22</v>
      </c>
      <c r="R9" s="32" t="s">
        <v>23</v>
      </c>
      <c r="S9" s="33">
        <v>1</v>
      </c>
      <c r="T9" s="29">
        <v>2</v>
      </c>
      <c r="U9" s="29">
        <v>3</v>
      </c>
      <c r="V9" s="29">
        <v>4</v>
      </c>
      <c r="W9" s="29">
        <v>5</v>
      </c>
      <c r="X9" s="29">
        <v>6</v>
      </c>
      <c r="Y9" s="29">
        <v>7</v>
      </c>
      <c r="Z9" s="29">
        <v>8</v>
      </c>
      <c r="AA9" s="29">
        <v>9</v>
      </c>
      <c r="AB9" s="30">
        <v>10</v>
      </c>
      <c r="AC9" s="25" t="s">
        <v>21</v>
      </c>
      <c r="AD9" s="31" t="s">
        <v>22</v>
      </c>
      <c r="AE9" s="32" t="s">
        <v>23</v>
      </c>
      <c r="AF9" s="34">
        <v>1</v>
      </c>
      <c r="AG9" s="31" t="s">
        <v>22</v>
      </c>
      <c r="AH9" s="32" t="s">
        <v>23</v>
      </c>
      <c r="AI9" s="223" t="s">
        <v>24</v>
      </c>
      <c r="AJ9" s="225" t="s">
        <v>24</v>
      </c>
      <c r="AK9" s="34"/>
      <c r="AL9" s="34"/>
      <c r="AM9" s="34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</row>
    <row r="10" spans="1:58" ht="18" customHeight="1" thickBot="1">
      <c r="A10" s="11"/>
      <c r="B10" s="227" t="s">
        <v>25</v>
      </c>
      <c r="C10" s="209"/>
      <c r="D10" s="209"/>
      <c r="E10" s="210"/>
      <c r="F10" s="36">
        <v>10</v>
      </c>
      <c r="G10" s="37">
        <v>10</v>
      </c>
      <c r="H10" s="37">
        <v>10</v>
      </c>
      <c r="I10" s="37">
        <v>10</v>
      </c>
      <c r="J10" s="37">
        <v>10</v>
      </c>
      <c r="K10" s="37">
        <v>10</v>
      </c>
      <c r="L10" s="37">
        <v>10</v>
      </c>
      <c r="M10" s="37">
        <v>10</v>
      </c>
      <c r="N10" s="37">
        <v>10</v>
      </c>
      <c r="O10" s="37">
        <v>10</v>
      </c>
      <c r="P10" s="38">
        <f>IF(COUNT($F10:$O10)=0,"",SUM($F10:$O10))</f>
        <v>100</v>
      </c>
      <c r="Q10" s="39">
        <v>100</v>
      </c>
      <c r="R10" s="40">
        <v>0.3</v>
      </c>
      <c r="S10" s="36">
        <v>10</v>
      </c>
      <c r="T10" s="36">
        <v>10</v>
      </c>
      <c r="U10" s="36">
        <v>10</v>
      </c>
      <c r="V10" s="36">
        <v>10</v>
      </c>
      <c r="W10" s="36">
        <v>10</v>
      </c>
      <c r="X10" s="36">
        <v>10</v>
      </c>
      <c r="Y10" s="36">
        <v>10</v>
      </c>
      <c r="Z10" s="36">
        <v>10</v>
      </c>
      <c r="AA10" s="36">
        <v>10</v>
      </c>
      <c r="AB10" s="36">
        <v>10</v>
      </c>
      <c r="AC10" s="38">
        <f>IF(COUNT($S10:$AB10)=0,"",SUM($S10:$AB10))</f>
        <v>100</v>
      </c>
      <c r="AD10" s="39">
        <v>100</v>
      </c>
      <c r="AE10" s="40">
        <v>0.5</v>
      </c>
      <c r="AF10" s="41">
        <v>30</v>
      </c>
      <c r="AG10" s="39">
        <v>100</v>
      </c>
      <c r="AH10" s="40">
        <v>0.2</v>
      </c>
      <c r="AI10" s="224"/>
      <c r="AJ10" s="226"/>
      <c r="AK10" s="12"/>
      <c r="AL10" s="42" t="s">
        <v>26</v>
      </c>
      <c r="AM10" s="43">
        <f>COUNTA(AF12:AF88)</f>
        <v>40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</row>
    <row r="11" spans="1:58" ht="18" customHeight="1" thickBot="1">
      <c r="A11" s="13"/>
      <c r="B11" s="208" t="s">
        <v>10</v>
      </c>
      <c r="C11" s="209"/>
      <c r="D11" s="209"/>
      <c r="E11" s="210"/>
      <c r="F11" s="44"/>
      <c r="G11" s="45"/>
      <c r="H11" s="45"/>
      <c r="I11" s="45"/>
      <c r="J11" s="45"/>
      <c r="K11" s="45"/>
      <c r="L11" s="45"/>
      <c r="M11" s="45"/>
      <c r="N11" s="45"/>
      <c r="O11" s="46"/>
      <c r="P11" s="47"/>
      <c r="Q11" s="48"/>
      <c r="R11" s="49"/>
      <c r="S11" s="50"/>
      <c r="T11" s="45"/>
      <c r="U11" s="45"/>
      <c r="V11" s="45"/>
      <c r="W11" s="45"/>
      <c r="X11" s="45"/>
      <c r="Y11" s="45"/>
      <c r="Z11" s="45"/>
      <c r="AA11" s="45"/>
      <c r="AB11" s="46"/>
      <c r="AC11" s="48"/>
      <c r="AD11" s="48"/>
      <c r="AE11" s="49"/>
      <c r="AF11" s="51"/>
      <c r="AG11" s="48"/>
      <c r="AH11" s="49"/>
      <c r="AI11" s="52"/>
      <c r="AJ11" s="53"/>
      <c r="AK11" s="12"/>
      <c r="AL11" s="54" t="s">
        <v>27</v>
      </c>
      <c r="AM11" s="55">
        <f>AF10</f>
        <v>30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</row>
    <row r="12" spans="1:58" ht="18" customHeight="1" thickBot="1">
      <c r="A12" s="133">
        <v>1</v>
      </c>
      <c r="B12" s="211" t="s">
        <v>102</v>
      </c>
      <c r="C12" s="212"/>
      <c r="D12" s="14"/>
      <c r="E12" s="15"/>
      <c r="F12" s="56">
        <v>10</v>
      </c>
      <c r="G12" s="56">
        <v>10</v>
      </c>
      <c r="H12" s="56">
        <v>5</v>
      </c>
      <c r="I12" s="56">
        <v>10</v>
      </c>
      <c r="J12" s="56">
        <v>4</v>
      </c>
      <c r="K12" s="56">
        <v>10</v>
      </c>
      <c r="L12" s="56">
        <v>10</v>
      </c>
      <c r="M12" s="56">
        <v>3</v>
      </c>
      <c r="N12" s="56">
        <v>10</v>
      </c>
      <c r="O12" s="56">
        <v>10</v>
      </c>
      <c r="P12" s="56">
        <f>SUM(F12:O12)</f>
        <v>82</v>
      </c>
      <c r="Q12" s="59">
        <f>IF(ISERROR(IF($P12="","",ROUND(($P12/$P$10)*$Q$10,2))),"",IF($P12="","",ROUND(($P12/$P$10)*$Q$10,2)))</f>
        <v>82</v>
      </c>
      <c r="R12" s="60">
        <f>IF($Q12="","",ROUND($Q12*$R$10,2))</f>
        <v>24.6</v>
      </c>
      <c r="S12" s="61">
        <v>6</v>
      </c>
      <c r="T12" s="57">
        <v>6</v>
      </c>
      <c r="U12" s="57">
        <v>6</v>
      </c>
      <c r="V12" s="57">
        <v>6</v>
      </c>
      <c r="W12" s="57">
        <v>6</v>
      </c>
      <c r="X12" s="57">
        <v>6</v>
      </c>
      <c r="Y12" s="57">
        <v>6</v>
      </c>
      <c r="Z12" s="57">
        <v>6</v>
      </c>
      <c r="AA12" s="57">
        <v>6</v>
      </c>
      <c r="AB12" s="57">
        <v>6</v>
      </c>
      <c r="AC12" s="38">
        <f t="shared" ref="AC12:AC31" si="0">IF(COUNT($S12:$AB12)=0,"",SUM($S12:$AB12))</f>
        <v>60</v>
      </c>
      <c r="AD12" s="59">
        <f t="shared" ref="AD12:AD31" si="1">IF(ISERROR(IF($AC12="","",ROUND(($AC12/$AC$10)*$AD$10,2))),"",IF($AC12="","",ROUND(($AC12/$AC$10)*$AD$10,2)))</f>
        <v>60</v>
      </c>
      <c r="AE12" s="60">
        <f t="shared" ref="AE12:AE31" si="2">IF($AD12="","",ROUND($AD12*$AE$10,2))</f>
        <v>30</v>
      </c>
      <c r="AF12" s="139">
        <v>23</v>
      </c>
      <c r="AG12" s="59">
        <f t="shared" ref="AG12:AG31" si="3">IF(ISERROR(IF($AF12="","",ROUND(($AF12/$AF$10)*$AG$10,2))),"",IF($AF12="","",ROUND(($AF12/$AF$10)*$AG$10,2)))</f>
        <v>76.67</v>
      </c>
      <c r="AH12" s="60">
        <f t="shared" ref="AH12:AH31" si="4">IF($AG12="","",ROUND($AG12*$AH$10,2))</f>
        <v>15.33</v>
      </c>
      <c r="AI12" s="62">
        <f t="shared" ref="AI12:AI31" si="5">IF(ISERROR(IF($AF12="","",ROUND(SUM($R12,$AE12,$AH12),2))),"",IF($AF12="","",ROUND(SUM($R12,$AE12,$AH12),2)))</f>
        <v>69.930000000000007</v>
      </c>
      <c r="AJ12" s="63">
        <f t="shared" ref="AJ12:AJ31" si="6">IF(ISERROR(IF($AF12="","",VLOOKUP(AI12,TRANSMUTATION_TABLE,4,TRUE))),"",IF($AF12="","",VLOOKUP(AI12,TRANSMUTATION_TABLE,4,TRUE)))</f>
        <v>81</v>
      </c>
      <c r="AK12" s="2"/>
      <c r="AL12" s="4"/>
      <c r="AM12" s="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>
        <f t="shared" ref="BF12:BF31" si="7">(AF12/$AF$10)*100</f>
        <v>76.666666666666671</v>
      </c>
    </row>
    <row r="13" spans="1:58" ht="18" customHeight="1" thickBot="1">
      <c r="A13" s="134">
        <v>2</v>
      </c>
      <c r="B13" s="206" t="s">
        <v>103</v>
      </c>
      <c r="C13" s="207"/>
      <c r="D13" s="64"/>
      <c r="E13" s="65"/>
      <c r="F13" s="56">
        <v>8</v>
      </c>
      <c r="G13" s="56">
        <v>8</v>
      </c>
      <c r="H13" s="56">
        <v>8</v>
      </c>
      <c r="I13" s="56">
        <v>4</v>
      </c>
      <c r="J13" s="56">
        <v>7</v>
      </c>
      <c r="K13" s="56">
        <v>4</v>
      </c>
      <c r="L13" s="56">
        <v>9</v>
      </c>
      <c r="M13" s="56">
        <v>8</v>
      </c>
      <c r="N13" s="56">
        <v>6</v>
      </c>
      <c r="O13" s="56">
        <v>4</v>
      </c>
      <c r="P13" s="56">
        <f t="shared" ref="P13:P31" si="8">SUM(F13:O13)</f>
        <v>66</v>
      </c>
      <c r="Q13" s="59">
        <f t="shared" ref="Q13:Q31" si="9">IF(ISERROR(IF($P13="","",ROUND(($P13/$P$10)*$Q$10,2))),"",IF($P13="","",ROUND(($P13/$P$10)*$Q$10,2)))</f>
        <v>66</v>
      </c>
      <c r="R13" s="60">
        <f>IF($Q13="","",ROUND($Q13*$R$10,2))</f>
        <v>19.8</v>
      </c>
      <c r="S13" s="61">
        <v>10</v>
      </c>
      <c r="T13" s="57">
        <v>7</v>
      </c>
      <c r="U13" s="57">
        <v>10</v>
      </c>
      <c r="V13" s="57">
        <v>6</v>
      </c>
      <c r="W13" s="57">
        <v>6</v>
      </c>
      <c r="X13" s="57">
        <v>6</v>
      </c>
      <c r="Y13" s="57">
        <v>6</v>
      </c>
      <c r="Z13" s="57">
        <v>6</v>
      </c>
      <c r="AA13" s="57">
        <v>6</v>
      </c>
      <c r="AB13" s="57">
        <v>10</v>
      </c>
      <c r="AC13" s="38">
        <f t="shared" si="0"/>
        <v>73</v>
      </c>
      <c r="AD13" s="59">
        <f t="shared" si="1"/>
        <v>73</v>
      </c>
      <c r="AE13" s="60">
        <f t="shared" si="2"/>
        <v>36.5</v>
      </c>
      <c r="AF13" s="139">
        <v>23</v>
      </c>
      <c r="AG13" s="59">
        <f t="shared" si="3"/>
        <v>76.67</v>
      </c>
      <c r="AH13" s="60">
        <f t="shared" si="4"/>
        <v>15.33</v>
      </c>
      <c r="AI13" s="62">
        <f t="shared" si="5"/>
        <v>71.63</v>
      </c>
      <c r="AJ13" s="63">
        <f t="shared" si="6"/>
        <v>82</v>
      </c>
      <c r="AK13" s="2"/>
      <c r="AL13" s="213" t="s">
        <v>28</v>
      </c>
      <c r="AM13" s="214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>
        <f t="shared" si="7"/>
        <v>76.666666666666671</v>
      </c>
    </row>
    <row r="14" spans="1:58" ht="18" customHeight="1" thickBot="1">
      <c r="A14" s="134">
        <v>3</v>
      </c>
      <c r="B14" s="206" t="s">
        <v>104</v>
      </c>
      <c r="C14" s="207"/>
      <c r="D14" s="64"/>
      <c r="E14" s="65"/>
      <c r="F14" s="56">
        <v>6</v>
      </c>
      <c r="G14" s="56">
        <v>8</v>
      </c>
      <c r="H14" s="56">
        <v>8</v>
      </c>
      <c r="I14" s="56">
        <v>8</v>
      </c>
      <c r="J14" s="56">
        <v>8</v>
      </c>
      <c r="K14" s="56">
        <v>10</v>
      </c>
      <c r="L14" s="56">
        <v>10</v>
      </c>
      <c r="M14" s="56">
        <v>6</v>
      </c>
      <c r="N14" s="56">
        <v>10</v>
      </c>
      <c r="O14" s="56">
        <v>6</v>
      </c>
      <c r="P14" s="56">
        <f t="shared" si="8"/>
        <v>80</v>
      </c>
      <c r="Q14" s="59">
        <f t="shared" si="9"/>
        <v>80</v>
      </c>
      <c r="R14" s="60">
        <f t="shared" ref="R14:R31" si="10">IF($Q14="","",ROUND($Q14*$R$10,2))</f>
        <v>24</v>
      </c>
      <c r="S14" s="61">
        <v>10</v>
      </c>
      <c r="T14" s="57">
        <v>10</v>
      </c>
      <c r="U14" s="57">
        <v>10</v>
      </c>
      <c r="V14" s="57">
        <v>6</v>
      </c>
      <c r="W14" s="57">
        <v>6</v>
      </c>
      <c r="X14" s="57">
        <v>6</v>
      </c>
      <c r="Y14" s="57">
        <v>8</v>
      </c>
      <c r="Z14" s="57">
        <v>5</v>
      </c>
      <c r="AA14" s="57">
        <v>5</v>
      </c>
      <c r="AB14" s="57">
        <v>6</v>
      </c>
      <c r="AC14" s="38">
        <f t="shared" si="0"/>
        <v>72</v>
      </c>
      <c r="AD14" s="59">
        <f t="shared" si="1"/>
        <v>72</v>
      </c>
      <c r="AE14" s="60">
        <f t="shared" si="2"/>
        <v>36</v>
      </c>
      <c r="AF14" s="139">
        <v>25</v>
      </c>
      <c r="AG14" s="59">
        <f t="shared" si="3"/>
        <v>83.33</v>
      </c>
      <c r="AH14" s="60">
        <f t="shared" si="4"/>
        <v>16.670000000000002</v>
      </c>
      <c r="AI14" s="62">
        <f t="shared" si="5"/>
        <v>76.67</v>
      </c>
      <c r="AJ14" s="63">
        <f t="shared" si="6"/>
        <v>85</v>
      </c>
      <c r="AK14" s="2"/>
      <c r="AL14" s="66" t="s">
        <v>29</v>
      </c>
      <c r="AM14" s="67">
        <f>COUNTIF(BF12:BF58,"&gt;=75")</f>
        <v>21</v>
      </c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>
        <f t="shared" si="7"/>
        <v>83.333333333333343</v>
      </c>
    </row>
    <row r="15" spans="1:58" ht="18" customHeight="1" thickBot="1">
      <c r="A15" s="134">
        <v>4</v>
      </c>
      <c r="B15" s="206" t="s">
        <v>105</v>
      </c>
      <c r="C15" s="207"/>
      <c r="D15" s="64"/>
      <c r="E15" s="65"/>
      <c r="F15" s="56">
        <v>6</v>
      </c>
      <c r="G15" s="56">
        <v>5</v>
      </c>
      <c r="H15" s="56">
        <v>5</v>
      </c>
      <c r="I15" s="56">
        <v>5</v>
      </c>
      <c r="J15" s="56">
        <v>8</v>
      </c>
      <c r="K15" s="56">
        <v>6</v>
      </c>
      <c r="L15" s="56">
        <v>9</v>
      </c>
      <c r="M15" s="56">
        <v>5</v>
      </c>
      <c r="N15" s="56">
        <v>4</v>
      </c>
      <c r="O15" s="56">
        <v>7</v>
      </c>
      <c r="P15" s="56">
        <f t="shared" si="8"/>
        <v>60</v>
      </c>
      <c r="Q15" s="59">
        <f t="shared" si="9"/>
        <v>60</v>
      </c>
      <c r="R15" s="60">
        <f t="shared" si="10"/>
        <v>18</v>
      </c>
      <c r="S15" s="61">
        <v>6</v>
      </c>
      <c r="T15" s="57">
        <v>6</v>
      </c>
      <c r="U15" s="57">
        <v>6</v>
      </c>
      <c r="V15" s="57">
        <v>6</v>
      </c>
      <c r="W15" s="57">
        <v>5</v>
      </c>
      <c r="X15" s="57">
        <v>6</v>
      </c>
      <c r="Y15" s="57">
        <v>6</v>
      </c>
      <c r="Z15" s="57">
        <v>5</v>
      </c>
      <c r="AA15" s="57">
        <v>6</v>
      </c>
      <c r="AB15" s="57">
        <v>6</v>
      </c>
      <c r="AC15" s="140">
        <f t="shared" si="0"/>
        <v>58</v>
      </c>
      <c r="AD15" s="129">
        <f t="shared" si="1"/>
        <v>58</v>
      </c>
      <c r="AE15" s="130">
        <f t="shared" si="2"/>
        <v>29</v>
      </c>
      <c r="AF15" s="139">
        <v>23</v>
      </c>
      <c r="AG15" s="59">
        <f t="shared" si="3"/>
        <v>76.67</v>
      </c>
      <c r="AH15" s="60">
        <f t="shared" si="4"/>
        <v>15.33</v>
      </c>
      <c r="AI15" s="62">
        <f t="shared" si="5"/>
        <v>62.33</v>
      </c>
      <c r="AJ15" s="63">
        <f t="shared" si="6"/>
        <v>76</v>
      </c>
      <c r="AK15" s="2"/>
      <c r="AL15" s="68" t="s">
        <v>30</v>
      </c>
      <c r="AM15" s="69">
        <f>AM14/AM10</f>
        <v>0.52500000000000002</v>
      </c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>
        <f t="shared" si="7"/>
        <v>76.666666666666671</v>
      </c>
    </row>
    <row r="16" spans="1:58" ht="18" customHeight="1" thickBot="1">
      <c r="A16" s="134">
        <v>5</v>
      </c>
      <c r="B16" s="206" t="s">
        <v>106</v>
      </c>
      <c r="C16" s="207"/>
      <c r="D16" s="64"/>
      <c r="E16" s="65"/>
      <c r="F16" s="56">
        <v>5</v>
      </c>
      <c r="G16" s="56">
        <v>6</v>
      </c>
      <c r="H16" s="56">
        <v>8</v>
      </c>
      <c r="I16" s="56">
        <v>8</v>
      </c>
      <c r="J16" s="56">
        <v>9</v>
      </c>
      <c r="K16" s="56">
        <v>10</v>
      </c>
      <c r="L16" s="56">
        <v>8</v>
      </c>
      <c r="M16" s="56">
        <v>6</v>
      </c>
      <c r="N16" s="56">
        <v>6</v>
      </c>
      <c r="O16" s="56">
        <v>6</v>
      </c>
      <c r="P16" s="56">
        <f t="shared" si="8"/>
        <v>72</v>
      </c>
      <c r="Q16" s="59">
        <f t="shared" si="9"/>
        <v>72</v>
      </c>
      <c r="R16" s="130">
        <f t="shared" si="10"/>
        <v>21.6</v>
      </c>
      <c r="S16" s="61">
        <v>5</v>
      </c>
      <c r="T16" s="57">
        <v>5</v>
      </c>
      <c r="U16" s="57">
        <v>6</v>
      </c>
      <c r="V16" s="57">
        <v>6</v>
      </c>
      <c r="W16" s="57">
        <v>6</v>
      </c>
      <c r="X16" s="57">
        <v>5</v>
      </c>
      <c r="Y16" s="57">
        <v>5</v>
      </c>
      <c r="Z16" s="57">
        <v>6</v>
      </c>
      <c r="AA16" s="57">
        <v>6</v>
      </c>
      <c r="AB16" s="57">
        <v>6</v>
      </c>
      <c r="AC16" s="38">
        <f t="shared" si="0"/>
        <v>56</v>
      </c>
      <c r="AD16" s="59">
        <f t="shared" si="1"/>
        <v>56</v>
      </c>
      <c r="AE16" s="60">
        <f t="shared" si="2"/>
        <v>28</v>
      </c>
      <c r="AF16" s="139">
        <v>21</v>
      </c>
      <c r="AG16" s="59">
        <f t="shared" si="3"/>
        <v>70</v>
      </c>
      <c r="AH16" s="60">
        <f t="shared" si="4"/>
        <v>14</v>
      </c>
      <c r="AI16" s="62">
        <f t="shared" si="5"/>
        <v>63.6</v>
      </c>
      <c r="AJ16" s="63">
        <f t="shared" si="6"/>
        <v>77</v>
      </c>
      <c r="AK16" s="2"/>
      <c r="AL16" s="68" t="s">
        <v>31</v>
      </c>
      <c r="AM16" s="70">
        <f>AM10-AM14</f>
        <v>19</v>
      </c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>
        <f t="shared" si="7"/>
        <v>70</v>
      </c>
    </row>
    <row r="17" spans="1:58" ht="18" customHeight="1" thickBot="1">
      <c r="A17" s="134">
        <v>6</v>
      </c>
      <c r="B17" s="206" t="s">
        <v>107</v>
      </c>
      <c r="C17" s="207"/>
      <c r="D17" s="64"/>
      <c r="E17" s="65"/>
      <c r="F17" s="56">
        <v>9</v>
      </c>
      <c r="G17" s="56">
        <v>9</v>
      </c>
      <c r="H17" s="56">
        <v>8</v>
      </c>
      <c r="I17" s="56">
        <v>6</v>
      </c>
      <c r="J17" s="56">
        <v>5</v>
      </c>
      <c r="K17" s="56">
        <v>7</v>
      </c>
      <c r="L17" s="56">
        <v>8</v>
      </c>
      <c r="M17" s="56">
        <v>8</v>
      </c>
      <c r="N17" s="56">
        <v>7</v>
      </c>
      <c r="O17" s="56">
        <v>7</v>
      </c>
      <c r="P17" s="56">
        <f t="shared" si="8"/>
        <v>74</v>
      </c>
      <c r="Q17" s="59">
        <f t="shared" si="9"/>
        <v>74</v>
      </c>
      <c r="R17" s="60">
        <f t="shared" si="10"/>
        <v>22.2</v>
      </c>
      <c r="S17" s="61">
        <v>9</v>
      </c>
      <c r="T17" s="57">
        <v>9</v>
      </c>
      <c r="U17" s="57">
        <v>8</v>
      </c>
      <c r="V17" s="57">
        <v>8</v>
      </c>
      <c r="W17" s="57">
        <v>10</v>
      </c>
      <c r="X17" s="57">
        <v>10</v>
      </c>
      <c r="Y17" s="57">
        <v>10</v>
      </c>
      <c r="Z17" s="57">
        <v>10</v>
      </c>
      <c r="AA17" s="57">
        <v>6</v>
      </c>
      <c r="AB17" s="57">
        <v>10</v>
      </c>
      <c r="AC17" s="38">
        <f t="shared" si="0"/>
        <v>90</v>
      </c>
      <c r="AD17" s="59">
        <f t="shared" si="1"/>
        <v>90</v>
      </c>
      <c r="AE17" s="60">
        <f t="shared" si="2"/>
        <v>45</v>
      </c>
      <c r="AF17" s="139">
        <v>27</v>
      </c>
      <c r="AG17" s="59">
        <f t="shared" si="3"/>
        <v>90</v>
      </c>
      <c r="AH17" s="60">
        <f t="shared" si="4"/>
        <v>18</v>
      </c>
      <c r="AI17" s="62">
        <f t="shared" si="5"/>
        <v>85.2</v>
      </c>
      <c r="AJ17" s="63">
        <f t="shared" si="6"/>
        <v>90</v>
      </c>
      <c r="AK17" s="2"/>
      <c r="AL17" s="71" t="s">
        <v>30</v>
      </c>
      <c r="AM17" s="72">
        <f>1-AM15</f>
        <v>0.47499999999999998</v>
      </c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>
        <f t="shared" si="7"/>
        <v>90</v>
      </c>
    </row>
    <row r="18" spans="1:58" ht="18" customHeight="1" thickBot="1">
      <c r="A18" s="134">
        <v>7</v>
      </c>
      <c r="B18" s="206" t="s">
        <v>108</v>
      </c>
      <c r="C18" s="207"/>
      <c r="D18" s="64">
        <v>0</v>
      </c>
      <c r="E18" s="65"/>
      <c r="F18" s="56">
        <v>5</v>
      </c>
      <c r="G18" s="56">
        <v>8</v>
      </c>
      <c r="H18" s="56">
        <v>8</v>
      </c>
      <c r="I18" s="56">
        <v>8</v>
      </c>
      <c r="J18" s="56">
        <v>6</v>
      </c>
      <c r="K18" s="56">
        <v>4</v>
      </c>
      <c r="L18" s="56">
        <v>4</v>
      </c>
      <c r="M18" s="56">
        <v>5</v>
      </c>
      <c r="N18" s="56">
        <v>4</v>
      </c>
      <c r="O18" s="56">
        <v>6</v>
      </c>
      <c r="P18" s="56">
        <f t="shared" si="8"/>
        <v>58</v>
      </c>
      <c r="Q18" s="59">
        <f t="shared" si="9"/>
        <v>58</v>
      </c>
      <c r="R18" s="60">
        <f t="shared" si="10"/>
        <v>17.399999999999999</v>
      </c>
      <c r="S18" s="61">
        <v>8</v>
      </c>
      <c r="T18" s="57">
        <v>8</v>
      </c>
      <c r="U18" s="57">
        <v>6</v>
      </c>
      <c r="V18" s="57">
        <v>9</v>
      </c>
      <c r="W18" s="57">
        <v>6</v>
      </c>
      <c r="X18" s="57">
        <v>6</v>
      </c>
      <c r="Y18" s="57">
        <v>6</v>
      </c>
      <c r="Z18" s="57">
        <v>8</v>
      </c>
      <c r="AA18" s="57">
        <v>9</v>
      </c>
      <c r="AB18" s="57">
        <v>9</v>
      </c>
      <c r="AC18" s="140">
        <f t="shared" si="0"/>
        <v>75</v>
      </c>
      <c r="AD18" s="129">
        <f t="shared" si="1"/>
        <v>75</v>
      </c>
      <c r="AE18" s="130">
        <f t="shared" si="2"/>
        <v>37.5</v>
      </c>
      <c r="AF18" s="139">
        <v>11</v>
      </c>
      <c r="AG18" s="59">
        <f t="shared" si="3"/>
        <v>36.67</v>
      </c>
      <c r="AH18" s="60">
        <f t="shared" si="4"/>
        <v>7.33</v>
      </c>
      <c r="AI18" s="62">
        <f t="shared" si="5"/>
        <v>62.23</v>
      </c>
      <c r="AJ18" s="63">
        <f t="shared" si="6"/>
        <v>76</v>
      </c>
      <c r="AK18" s="2"/>
      <c r="AL18" s="4"/>
      <c r="AM18" s="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>
        <f t="shared" si="7"/>
        <v>36.666666666666664</v>
      </c>
    </row>
    <row r="19" spans="1:58" ht="18" customHeight="1" thickBot="1">
      <c r="A19" s="134">
        <v>8</v>
      </c>
      <c r="B19" s="206" t="s">
        <v>109</v>
      </c>
      <c r="C19" s="207"/>
      <c r="D19" s="64"/>
      <c r="E19" s="65"/>
      <c r="F19" s="56">
        <v>5</v>
      </c>
      <c r="G19" s="56">
        <v>5</v>
      </c>
      <c r="H19" s="56">
        <v>5</v>
      </c>
      <c r="I19" s="56">
        <v>5</v>
      </c>
      <c r="J19" s="56">
        <v>6</v>
      </c>
      <c r="K19" s="56">
        <v>6</v>
      </c>
      <c r="L19" s="56">
        <v>5</v>
      </c>
      <c r="M19" s="56">
        <v>5</v>
      </c>
      <c r="N19" s="56">
        <v>5</v>
      </c>
      <c r="O19" s="56">
        <v>6</v>
      </c>
      <c r="P19" s="56">
        <f t="shared" si="8"/>
        <v>53</v>
      </c>
      <c r="Q19" s="59">
        <f t="shared" si="9"/>
        <v>53</v>
      </c>
      <c r="R19" s="60">
        <f t="shared" si="10"/>
        <v>15.9</v>
      </c>
      <c r="S19" s="61">
        <v>10</v>
      </c>
      <c r="T19" s="57">
        <v>10</v>
      </c>
      <c r="U19" s="57">
        <v>6</v>
      </c>
      <c r="V19" s="57">
        <v>6</v>
      </c>
      <c r="W19" s="57">
        <v>6</v>
      </c>
      <c r="X19" s="57">
        <v>6</v>
      </c>
      <c r="Y19" s="57">
        <v>6</v>
      </c>
      <c r="Z19" s="57">
        <v>6</v>
      </c>
      <c r="AA19" s="57">
        <v>6</v>
      </c>
      <c r="AB19" s="57">
        <v>6</v>
      </c>
      <c r="AC19" s="38">
        <f t="shared" si="0"/>
        <v>68</v>
      </c>
      <c r="AD19" s="59">
        <f t="shared" si="1"/>
        <v>68</v>
      </c>
      <c r="AE19" s="60">
        <f t="shared" si="2"/>
        <v>34</v>
      </c>
      <c r="AF19" s="139">
        <v>20</v>
      </c>
      <c r="AG19" s="59">
        <f t="shared" si="3"/>
        <v>66.67</v>
      </c>
      <c r="AH19" s="60">
        <f t="shared" si="4"/>
        <v>13.33</v>
      </c>
      <c r="AI19" s="62">
        <f t="shared" si="5"/>
        <v>63.23</v>
      </c>
      <c r="AJ19" s="63">
        <f t="shared" si="6"/>
        <v>77</v>
      </c>
      <c r="AK19" s="2"/>
      <c r="AL19" s="73" t="s">
        <v>32</v>
      </c>
      <c r="AM19" s="74" t="s">
        <v>33</v>
      </c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>
        <f t="shared" si="7"/>
        <v>66.666666666666657</v>
      </c>
    </row>
    <row r="20" spans="1:58" ht="18" customHeight="1" thickBot="1">
      <c r="A20" s="134">
        <v>9</v>
      </c>
      <c r="B20" s="206" t="s">
        <v>110</v>
      </c>
      <c r="C20" s="207"/>
      <c r="D20" s="64">
        <v>0</v>
      </c>
      <c r="E20" s="65"/>
      <c r="F20" s="56">
        <v>5</v>
      </c>
      <c r="G20" s="56">
        <v>6</v>
      </c>
      <c r="H20" s="56">
        <v>7</v>
      </c>
      <c r="I20" s="56">
        <v>6</v>
      </c>
      <c r="J20" s="56">
        <v>7</v>
      </c>
      <c r="K20" s="56">
        <v>8</v>
      </c>
      <c r="L20" s="56">
        <v>9</v>
      </c>
      <c r="M20" s="56">
        <v>5</v>
      </c>
      <c r="N20" s="56">
        <v>5</v>
      </c>
      <c r="O20" s="56">
        <v>9</v>
      </c>
      <c r="P20" s="56">
        <f t="shared" si="8"/>
        <v>67</v>
      </c>
      <c r="Q20" s="59">
        <f t="shared" si="9"/>
        <v>67</v>
      </c>
      <c r="R20" s="60">
        <f t="shared" si="10"/>
        <v>20.100000000000001</v>
      </c>
      <c r="S20" s="61">
        <v>10</v>
      </c>
      <c r="T20" s="57">
        <v>10</v>
      </c>
      <c r="U20" s="57">
        <v>10</v>
      </c>
      <c r="V20" s="57">
        <v>10</v>
      </c>
      <c r="W20" s="57">
        <v>7</v>
      </c>
      <c r="X20" s="57">
        <v>10</v>
      </c>
      <c r="Y20" s="57">
        <v>6</v>
      </c>
      <c r="Z20" s="57">
        <v>7</v>
      </c>
      <c r="AA20" s="57">
        <v>6</v>
      </c>
      <c r="AB20" s="57">
        <v>10</v>
      </c>
      <c r="AC20" s="38">
        <f t="shared" si="0"/>
        <v>86</v>
      </c>
      <c r="AD20" s="59">
        <f t="shared" si="1"/>
        <v>86</v>
      </c>
      <c r="AE20" s="60">
        <f t="shared" si="2"/>
        <v>43</v>
      </c>
      <c r="AF20" s="139">
        <v>23</v>
      </c>
      <c r="AG20" s="59">
        <f t="shared" si="3"/>
        <v>76.67</v>
      </c>
      <c r="AH20" s="60">
        <f t="shared" si="4"/>
        <v>15.33</v>
      </c>
      <c r="AI20" s="62">
        <f t="shared" si="5"/>
        <v>78.430000000000007</v>
      </c>
      <c r="AJ20" s="63">
        <f t="shared" si="6"/>
        <v>86</v>
      </c>
      <c r="AK20" s="2"/>
      <c r="AL20" s="66" t="s">
        <v>34</v>
      </c>
      <c r="AM20" s="75">
        <f>AVERAGE(AF12:AF52)</f>
        <v>21.8</v>
      </c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>
        <f t="shared" si="7"/>
        <v>76.666666666666671</v>
      </c>
    </row>
    <row r="21" spans="1:58" ht="18" customHeight="1" thickBot="1">
      <c r="A21" s="134">
        <v>10</v>
      </c>
      <c r="B21" s="206" t="s">
        <v>111</v>
      </c>
      <c r="C21" s="207"/>
      <c r="D21" s="64"/>
      <c r="E21" s="65"/>
      <c r="F21" s="56">
        <v>5</v>
      </c>
      <c r="G21" s="56">
        <v>6</v>
      </c>
      <c r="H21" s="56">
        <v>7</v>
      </c>
      <c r="I21" s="56">
        <v>6</v>
      </c>
      <c r="J21" s="56">
        <v>6</v>
      </c>
      <c r="K21" s="56">
        <v>6</v>
      </c>
      <c r="L21" s="56">
        <v>6</v>
      </c>
      <c r="M21" s="56">
        <v>5</v>
      </c>
      <c r="N21" s="56">
        <v>6</v>
      </c>
      <c r="O21" s="56">
        <v>9</v>
      </c>
      <c r="P21" s="56">
        <f t="shared" si="8"/>
        <v>62</v>
      </c>
      <c r="Q21" s="59">
        <f t="shared" si="9"/>
        <v>62</v>
      </c>
      <c r="R21" s="60">
        <f t="shared" si="10"/>
        <v>18.600000000000001</v>
      </c>
      <c r="S21" s="61">
        <v>10</v>
      </c>
      <c r="T21" s="57">
        <v>10</v>
      </c>
      <c r="U21" s="57">
        <v>10</v>
      </c>
      <c r="V21" s="57">
        <v>10</v>
      </c>
      <c r="W21" s="57">
        <v>8</v>
      </c>
      <c r="X21" s="57">
        <v>8</v>
      </c>
      <c r="Y21" s="57">
        <v>7</v>
      </c>
      <c r="Z21" s="57">
        <v>6</v>
      </c>
      <c r="AA21" s="57">
        <v>6</v>
      </c>
      <c r="AB21" s="57">
        <v>10</v>
      </c>
      <c r="AC21" s="38">
        <f t="shared" si="0"/>
        <v>85</v>
      </c>
      <c r="AD21" s="59">
        <f t="shared" si="1"/>
        <v>85</v>
      </c>
      <c r="AE21" s="60">
        <f t="shared" si="2"/>
        <v>42.5</v>
      </c>
      <c r="AF21" s="139">
        <v>20</v>
      </c>
      <c r="AG21" s="59">
        <f t="shared" si="3"/>
        <v>66.67</v>
      </c>
      <c r="AH21" s="60">
        <f t="shared" si="4"/>
        <v>13.33</v>
      </c>
      <c r="AI21" s="62">
        <f t="shared" si="5"/>
        <v>74.430000000000007</v>
      </c>
      <c r="AJ21" s="63">
        <f t="shared" si="6"/>
        <v>84</v>
      </c>
      <c r="AK21" s="2"/>
      <c r="AL21" s="68" t="s">
        <v>35</v>
      </c>
      <c r="AM21" s="70">
        <f>MEDIAN(AF12:AF52)</f>
        <v>23</v>
      </c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>
        <f t="shared" si="7"/>
        <v>66.666666666666657</v>
      </c>
    </row>
    <row r="22" spans="1:58" ht="18" customHeight="1" thickBot="1">
      <c r="A22" s="134">
        <v>11</v>
      </c>
      <c r="B22" s="206" t="s">
        <v>112</v>
      </c>
      <c r="C22" s="207"/>
      <c r="D22" s="64"/>
      <c r="E22" s="65"/>
      <c r="F22" s="56">
        <v>6</v>
      </c>
      <c r="G22" s="56">
        <v>8</v>
      </c>
      <c r="H22" s="56">
        <v>8</v>
      </c>
      <c r="I22" s="56">
        <v>8</v>
      </c>
      <c r="J22" s="56">
        <v>7</v>
      </c>
      <c r="K22" s="56">
        <v>8</v>
      </c>
      <c r="L22" s="56">
        <v>9</v>
      </c>
      <c r="M22" s="56">
        <v>5</v>
      </c>
      <c r="N22" s="56">
        <v>5</v>
      </c>
      <c r="O22" s="56">
        <v>9</v>
      </c>
      <c r="P22" s="56">
        <f t="shared" si="8"/>
        <v>73</v>
      </c>
      <c r="Q22" s="59">
        <f t="shared" si="9"/>
        <v>73</v>
      </c>
      <c r="R22" s="60">
        <f t="shared" si="10"/>
        <v>21.9</v>
      </c>
      <c r="S22" s="61">
        <v>10</v>
      </c>
      <c r="T22" s="57">
        <v>8</v>
      </c>
      <c r="U22" s="57">
        <v>7</v>
      </c>
      <c r="V22" s="57">
        <v>10</v>
      </c>
      <c r="W22" s="57">
        <v>8</v>
      </c>
      <c r="X22" s="57">
        <v>10</v>
      </c>
      <c r="Y22" s="57">
        <v>6</v>
      </c>
      <c r="Z22" s="57">
        <v>10</v>
      </c>
      <c r="AA22" s="57">
        <v>6</v>
      </c>
      <c r="AB22" s="57">
        <v>10</v>
      </c>
      <c r="AC22" s="38">
        <f t="shared" si="0"/>
        <v>85</v>
      </c>
      <c r="AD22" s="59">
        <f t="shared" si="1"/>
        <v>85</v>
      </c>
      <c r="AE22" s="60">
        <f t="shared" si="2"/>
        <v>42.5</v>
      </c>
      <c r="AF22" s="139">
        <v>24</v>
      </c>
      <c r="AG22" s="59">
        <f t="shared" si="3"/>
        <v>80</v>
      </c>
      <c r="AH22" s="60">
        <f t="shared" si="4"/>
        <v>16</v>
      </c>
      <c r="AI22" s="62">
        <f t="shared" si="5"/>
        <v>80.400000000000006</v>
      </c>
      <c r="AJ22" s="63">
        <f t="shared" si="6"/>
        <v>87</v>
      </c>
      <c r="AK22" s="2"/>
      <c r="AL22" s="68" t="s">
        <v>36</v>
      </c>
      <c r="AM22" s="76">
        <f>_xlfn.STDEV.S(AF12:AF52)</f>
        <v>4.1212395446777199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12">
        <f t="shared" si="7"/>
        <v>80</v>
      </c>
    </row>
    <row r="23" spans="1:58" ht="18" customHeight="1" thickBot="1">
      <c r="A23" s="134">
        <v>12</v>
      </c>
      <c r="B23" s="206" t="s">
        <v>113</v>
      </c>
      <c r="C23" s="207"/>
      <c r="D23" s="64"/>
      <c r="E23" s="65"/>
      <c r="F23" s="56">
        <v>5</v>
      </c>
      <c r="G23" s="56">
        <v>6</v>
      </c>
      <c r="H23" s="56">
        <v>7</v>
      </c>
      <c r="I23" s="56">
        <v>6</v>
      </c>
      <c r="J23" s="56">
        <v>7</v>
      </c>
      <c r="K23" s="56">
        <v>7</v>
      </c>
      <c r="L23" s="56">
        <v>7</v>
      </c>
      <c r="M23" s="56">
        <v>5</v>
      </c>
      <c r="N23" s="56">
        <v>6</v>
      </c>
      <c r="O23" s="56">
        <v>5</v>
      </c>
      <c r="P23" s="56">
        <f t="shared" si="8"/>
        <v>61</v>
      </c>
      <c r="Q23" s="59">
        <f t="shared" si="9"/>
        <v>61</v>
      </c>
      <c r="R23" s="60">
        <f t="shared" si="10"/>
        <v>18.3</v>
      </c>
      <c r="S23" s="61">
        <v>8</v>
      </c>
      <c r="T23" s="57">
        <v>9</v>
      </c>
      <c r="U23" s="57">
        <v>8</v>
      </c>
      <c r="V23" s="57">
        <v>7</v>
      </c>
      <c r="W23" s="57">
        <v>6</v>
      </c>
      <c r="X23" s="57">
        <v>6</v>
      </c>
      <c r="Y23" s="57">
        <v>6</v>
      </c>
      <c r="Z23" s="57">
        <v>6</v>
      </c>
      <c r="AA23" s="57">
        <v>8</v>
      </c>
      <c r="AB23" s="57">
        <v>8</v>
      </c>
      <c r="AC23" s="38">
        <f t="shared" si="0"/>
        <v>72</v>
      </c>
      <c r="AD23" s="59">
        <f t="shared" si="1"/>
        <v>72</v>
      </c>
      <c r="AE23" s="60">
        <f t="shared" si="2"/>
        <v>36</v>
      </c>
      <c r="AF23" s="139">
        <v>18</v>
      </c>
      <c r="AG23" s="59">
        <f t="shared" si="3"/>
        <v>60</v>
      </c>
      <c r="AH23" s="60">
        <f t="shared" si="4"/>
        <v>12</v>
      </c>
      <c r="AI23" s="62">
        <f t="shared" si="5"/>
        <v>66.3</v>
      </c>
      <c r="AJ23" s="63">
        <f t="shared" si="6"/>
        <v>78</v>
      </c>
      <c r="AK23" s="2"/>
      <c r="AL23" s="71" t="s">
        <v>37</v>
      </c>
      <c r="AM23" s="72">
        <f>AM20/AM11</f>
        <v>0.72666666666666668</v>
      </c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2">
        <f t="shared" si="7"/>
        <v>60</v>
      </c>
    </row>
    <row r="24" spans="1:58" ht="18" customHeight="1" thickBot="1">
      <c r="A24" s="134">
        <v>13</v>
      </c>
      <c r="B24" s="206" t="s">
        <v>114</v>
      </c>
      <c r="C24" s="207"/>
      <c r="D24" s="64"/>
      <c r="E24" s="65"/>
      <c r="F24" s="56">
        <v>6</v>
      </c>
      <c r="G24" s="56">
        <v>7</v>
      </c>
      <c r="H24" s="56">
        <v>7</v>
      </c>
      <c r="I24" s="56">
        <v>6</v>
      </c>
      <c r="J24" s="56">
        <v>7</v>
      </c>
      <c r="K24" s="56">
        <v>8</v>
      </c>
      <c r="L24" s="56">
        <v>9</v>
      </c>
      <c r="M24" s="56">
        <v>5</v>
      </c>
      <c r="N24" s="56">
        <v>5</v>
      </c>
      <c r="O24" s="56">
        <v>9</v>
      </c>
      <c r="P24" s="56">
        <f t="shared" si="8"/>
        <v>69</v>
      </c>
      <c r="Q24" s="59">
        <f t="shared" si="9"/>
        <v>69</v>
      </c>
      <c r="R24" s="60">
        <f t="shared" si="10"/>
        <v>20.7</v>
      </c>
      <c r="S24" s="61">
        <v>6</v>
      </c>
      <c r="T24" s="57">
        <v>6</v>
      </c>
      <c r="U24" s="57">
        <v>10</v>
      </c>
      <c r="V24" s="57">
        <v>6</v>
      </c>
      <c r="W24" s="57">
        <v>6</v>
      </c>
      <c r="X24" s="57">
        <v>6</v>
      </c>
      <c r="Y24" s="57">
        <v>10</v>
      </c>
      <c r="Z24" s="57">
        <v>10</v>
      </c>
      <c r="AA24" s="57">
        <v>10</v>
      </c>
      <c r="AB24" s="57">
        <v>10</v>
      </c>
      <c r="AC24" s="38">
        <f t="shared" si="0"/>
        <v>80</v>
      </c>
      <c r="AD24" s="59">
        <f t="shared" si="1"/>
        <v>80</v>
      </c>
      <c r="AE24" s="60">
        <f t="shared" si="2"/>
        <v>40</v>
      </c>
      <c r="AF24" s="139">
        <v>22</v>
      </c>
      <c r="AG24" s="59">
        <f t="shared" si="3"/>
        <v>73.33</v>
      </c>
      <c r="AH24" s="60">
        <f t="shared" si="4"/>
        <v>14.67</v>
      </c>
      <c r="AI24" s="62">
        <f t="shared" si="5"/>
        <v>75.37</v>
      </c>
      <c r="AJ24" s="63">
        <f t="shared" si="6"/>
        <v>84</v>
      </c>
      <c r="AK24" s="2"/>
      <c r="AL24" s="4"/>
      <c r="AM24" s="2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2">
        <f t="shared" si="7"/>
        <v>73.333333333333329</v>
      </c>
    </row>
    <row r="25" spans="1:58" ht="18" customHeight="1" thickBot="1">
      <c r="A25" s="134">
        <v>14</v>
      </c>
      <c r="B25" s="206" t="s">
        <v>115</v>
      </c>
      <c r="C25" s="207"/>
      <c r="D25" s="64"/>
      <c r="E25" s="65"/>
      <c r="F25" s="56">
        <v>6</v>
      </c>
      <c r="G25" s="56">
        <v>6</v>
      </c>
      <c r="H25" s="56">
        <v>6</v>
      </c>
      <c r="I25" s="56">
        <v>6</v>
      </c>
      <c r="J25" s="56">
        <v>6</v>
      </c>
      <c r="K25" s="56">
        <v>6</v>
      </c>
      <c r="L25" s="56">
        <v>6</v>
      </c>
      <c r="M25" s="56">
        <v>5</v>
      </c>
      <c r="N25" s="56">
        <v>5</v>
      </c>
      <c r="O25" s="56">
        <v>9</v>
      </c>
      <c r="P25" s="56">
        <f t="shared" si="8"/>
        <v>61</v>
      </c>
      <c r="Q25" s="59">
        <f t="shared" si="9"/>
        <v>61</v>
      </c>
      <c r="R25" s="60">
        <f t="shared" si="10"/>
        <v>18.3</v>
      </c>
      <c r="S25" s="61">
        <v>6</v>
      </c>
      <c r="T25" s="57">
        <v>6</v>
      </c>
      <c r="U25" s="57">
        <v>8</v>
      </c>
      <c r="V25" s="57">
        <v>6</v>
      </c>
      <c r="W25" s="57">
        <v>8</v>
      </c>
      <c r="X25" s="57">
        <v>7</v>
      </c>
      <c r="Y25" s="57">
        <v>9</v>
      </c>
      <c r="Z25" s="57">
        <v>8</v>
      </c>
      <c r="AA25" s="57">
        <v>9</v>
      </c>
      <c r="AB25" s="57">
        <v>6</v>
      </c>
      <c r="AC25" s="38">
        <f t="shared" si="0"/>
        <v>73</v>
      </c>
      <c r="AD25" s="59">
        <f t="shared" si="1"/>
        <v>73</v>
      </c>
      <c r="AE25" s="60">
        <f t="shared" si="2"/>
        <v>36.5</v>
      </c>
      <c r="AF25" s="139">
        <v>15</v>
      </c>
      <c r="AG25" s="59">
        <f t="shared" si="3"/>
        <v>50</v>
      </c>
      <c r="AH25" s="60">
        <f t="shared" si="4"/>
        <v>10</v>
      </c>
      <c r="AI25" s="62">
        <f t="shared" si="5"/>
        <v>64.8</v>
      </c>
      <c r="AJ25" s="63">
        <f t="shared" si="6"/>
        <v>78</v>
      </c>
      <c r="AK25" s="2"/>
      <c r="AL25" s="73" t="s">
        <v>38</v>
      </c>
      <c r="AM25" s="77" t="s">
        <v>33</v>
      </c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2">
        <f t="shared" si="7"/>
        <v>50</v>
      </c>
    </row>
    <row r="26" spans="1:58" ht="18" customHeight="1" thickBot="1">
      <c r="A26" s="134">
        <v>15</v>
      </c>
      <c r="B26" s="206" t="s">
        <v>116</v>
      </c>
      <c r="C26" s="207"/>
      <c r="D26" s="64"/>
      <c r="E26" s="65"/>
      <c r="F26" s="56">
        <v>5</v>
      </c>
      <c r="G26" s="56">
        <v>5</v>
      </c>
      <c r="H26" s="56">
        <v>5</v>
      </c>
      <c r="I26" s="56">
        <v>6</v>
      </c>
      <c r="J26" s="56">
        <v>7</v>
      </c>
      <c r="K26" s="56">
        <v>8</v>
      </c>
      <c r="L26" s="56">
        <v>9</v>
      </c>
      <c r="M26" s="56">
        <v>5</v>
      </c>
      <c r="N26" s="56">
        <v>5</v>
      </c>
      <c r="O26" s="56">
        <v>9</v>
      </c>
      <c r="P26" s="56">
        <f t="shared" si="8"/>
        <v>64</v>
      </c>
      <c r="Q26" s="59">
        <f t="shared" si="9"/>
        <v>64</v>
      </c>
      <c r="R26" s="60">
        <f t="shared" si="10"/>
        <v>19.2</v>
      </c>
      <c r="S26" s="61">
        <v>6</v>
      </c>
      <c r="T26" s="57">
        <v>6</v>
      </c>
      <c r="U26" s="57">
        <v>6</v>
      </c>
      <c r="V26" s="57">
        <v>7</v>
      </c>
      <c r="W26" s="57">
        <v>6</v>
      </c>
      <c r="X26" s="57">
        <v>6</v>
      </c>
      <c r="Y26" s="57">
        <v>7</v>
      </c>
      <c r="Z26" s="57">
        <v>6</v>
      </c>
      <c r="AA26" s="57">
        <v>6</v>
      </c>
      <c r="AB26" s="57">
        <v>6</v>
      </c>
      <c r="AC26" s="38">
        <f t="shared" si="0"/>
        <v>62</v>
      </c>
      <c r="AD26" s="59">
        <f t="shared" si="1"/>
        <v>62</v>
      </c>
      <c r="AE26" s="60">
        <f t="shared" si="2"/>
        <v>31</v>
      </c>
      <c r="AF26" s="139">
        <v>23</v>
      </c>
      <c r="AG26" s="59">
        <f t="shared" si="3"/>
        <v>76.67</v>
      </c>
      <c r="AH26" s="60">
        <f t="shared" si="4"/>
        <v>15.33</v>
      </c>
      <c r="AI26" s="62">
        <f t="shared" si="5"/>
        <v>65.53</v>
      </c>
      <c r="AJ26" s="63">
        <f t="shared" si="6"/>
        <v>78</v>
      </c>
      <c r="AK26" s="2"/>
      <c r="AL26" s="66" t="s">
        <v>39</v>
      </c>
      <c r="AM26" s="78">
        <f>MAX(AF12:AF52)</f>
        <v>27</v>
      </c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2"/>
      <c r="BF26" s="12">
        <f t="shared" si="7"/>
        <v>76.666666666666671</v>
      </c>
    </row>
    <row r="27" spans="1:58" ht="18" customHeight="1" thickBot="1">
      <c r="A27" s="134">
        <v>16</v>
      </c>
      <c r="B27" s="206" t="s">
        <v>117</v>
      </c>
      <c r="C27" s="207"/>
      <c r="D27" s="64"/>
      <c r="E27" s="65"/>
      <c r="F27" s="56">
        <v>5</v>
      </c>
      <c r="G27" s="56">
        <v>5</v>
      </c>
      <c r="H27" s="56">
        <v>5</v>
      </c>
      <c r="I27" s="56">
        <v>6</v>
      </c>
      <c r="J27" s="56">
        <v>6</v>
      </c>
      <c r="K27" s="56">
        <v>6</v>
      </c>
      <c r="L27" s="56">
        <v>6</v>
      </c>
      <c r="M27" s="56">
        <v>5</v>
      </c>
      <c r="N27" s="56">
        <v>6</v>
      </c>
      <c r="O27" s="56">
        <v>6</v>
      </c>
      <c r="P27" s="56">
        <f t="shared" si="8"/>
        <v>56</v>
      </c>
      <c r="Q27" s="59">
        <f t="shared" si="9"/>
        <v>56</v>
      </c>
      <c r="R27" s="60">
        <f t="shared" si="10"/>
        <v>16.8</v>
      </c>
      <c r="S27" s="61">
        <v>6</v>
      </c>
      <c r="T27" s="57">
        <v>6</v>
      </c>
      <c r="U27" s="57">
        <v>10</v>
      </c>
      <c r="V27" s="57">
        <v>6</v>
      </c>
      <c r="W27" s="57">
        <v>6</v>
      </c>
      <c r="X27" s="57">
        <v>6</v>
      </c>
      <c r="Y27" s="57">
        <v>6</v>
      </c>
      <c r="Z27" s="57">
        <v>10</v>
      </c>
      <c r="AA27" s="57">
        <v>7</v>
      </c>
      <c r="AB27" s="57">
        <v>10</v>
      </c>
      <c r="AC27" s="38">
        <f t="shared" si="0"/>
        <v>73</v>
      </c>
      <c r="AD27" s="59">
        <f t="shared" si="1"/>
        <v>73</v>
      </c>
      <c r="AE27" s="60">
        <f t="shared" si="2"/>
        <v>36.5</v>
      </c>
      <c r="AF27" s="139">
        <v>15</v>
      </c>
      <c r="AG27" s="59">
        <f t="shared" si="3"/>
        <v>50</v>
      </c>
      <c r="AH27" s="60">
        <f t="shared" si="4"/>
        <v>10</v>
      </c>
      <c r="AI27" s="62">
        <f t="shared" si="5"/>
        <v>63.3</v>
      </c>
      <c r="AJ27" s="63">
        <f t="shared" si="6"/>
        <v>77</v>
      </c>
      <c r="AK27" s="2"/>
      <c r="AL27" s="68" t="s">
        <v>40</v>
      </c>
      <c r="AM27" s="79">
        <f>MIN(AF12:AF76)</f>
        <v>11</v>
      </c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2"/>
      <c r="BF27" s="12">
        <f t="shared" si="7"/>
        <v>50</v>
      </c>
    </row>
    <row r="28" spans="1:58" ht="18" customHeight="1" thickBot="1">
      <c r="A28" s="134">
        <v>17</v>
      </c>
      <c r="B28" s="206" t="s">
        <v>118</v>
      </c>
      <c r="C28" s="207"/>
      <c r="D28" s="64"/>
      <c r="E28" s="65"/>
      <c r="F28" s="56">
        <v>6</v>
      </c>
      <c r="G28" s="56">
        <v>6</v>
      </c>
      <c r="H28" s="56">
        <v>6</v>
      </c>
      <c r="I28" s="56">
        <v>6</v>
      </c>
      <c r="J28" s="56">
        <v>7</v>
      </c>
      <c r="K28" s="56">
        <v>8</v>
      </c>
      <c r="L28" s="56">
        <v>9</v>
      </c>
      <c r="M28" s="56">
        <v>5</v>
      </c>
      <c r="N28" s="56">
        <v>5</v>
      </c>
      <c r="O28" s="56">
        <v>9</v>
      </c>
      <c r="P28" s="56">
        <f t="shared" si="8"/>
        <v>67</v>
      </c>
      <c r="Q28" s="59">
        <f t="shared" si="9"/>
        <v>67</v>
      </c>
      <c r="R28" s="60">
        <f t="shared" si="10"/>
        <v>20.100000000000001</v>
      </c>
      <c r="S28" s="61">
        <v>10</v>
      </c>
      <c r="T28" s="57">
        <v>8</v>
      </c>
      <c r="U28" s="57">
        <v>10</v>
      </c>
      <c r="V28" s="57">
        <v>8</v>
      </c>
      <c r="W28" s="57">
        <v>10</v>
      </c>
      <c r="X28" s="57">
        <v>10</v>
      </c>
      <c r="Y28" s="57">
        <v>6</v>
      </c>
      <c r="Z28" s="57">
        <v>10</v>
      </c>
      <c r="AA28" s="57">
        <v>6</v>
      </c>
      <c r="AB28" s="57">
        <v>5</v>
      </c>
      <c r="AC28" s="38">
        <f t="shared" si="0"/>
        <v>83</v>
      </c>
      <c r="AD28" s="59">
        <f t="shared" si="1"/>
        <v>83</v>
      </c>
      <c r="AE28" s="60">
        <f t="shared" si="2"/>
        <v>41.5</v>
      </c>
      <c r="AF28" s="139">
        <v>15</v>
      </c>
      <c r="AG28" s="59">
        <f t="shared" si="3"/>
        <v>50</v>
      </c>
      <c r="AH28" s="60">
        <f t="shared" si="4"/>
        <v>10</v>
      </c>
      <c r="AI28" s="62">
        <f t="shared" si="5"/>
        <v>71.599999999999994</v>
      </c>
      <c r="AJ28" s="63">
        <f t="shared" si="6"/>
        <v>82</v>
      </c>
      <c r="AK28" s="2"/>
      <c r="AL28" s="71" t="s">
        <v>41</v>
      </c>
      <c r="AM28" s="80">
        <f>SUM(AF12:AF52)</f>
        <v>872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2"/>
      <c r="BF28" s="12">
        <f t="shared" si="7"/>
        <v>50</v>
      </c>
    </row>
    <row r="29" spans="1:58" ht="18" customHeight="1" thickBot="1">
      <c r="A29" s="134">
        <v>18</v>
      </c>
      <c r="B29" s="206" t="s">
        <v>119</v>
      </c>
      <c r="C29" s="207"/>
      <c r="D29" s="64"/>
      <c r="E29" s="65"/>
      <c r="F29" s="56">
        <v>9</v>
      </c>
      <c r="G29" s="56">
        <v>8</v>
      </c>
      <c r="H29" s="56">
        <v>8</v>
      </c>
      <c r="I29" s="56">
        <v>8</v>
      </c>
      <c r="J29" s="56">
        <v>8</v>
      </c>
      <c r="K29" s="56">
        <v>8</v>
      </c>
      <c r="L29" s="56">
        <v>9</v>
      </c>
      <c r="M29" s="56">
        <v>5</v>
      </c>
      <c r="N29" s="56">
        <v>5</v>
      </c>
      <c r="O29" s="56">
        <v>9</v>
      </c>
      <c r="P29" s="56">
        <f t="shared" si="8"/>
        <v>77</v>
      </c>
      <c r="Q29" s="59">
        <f t="shared" si="9"/>
        <v>77</v>
      </c>
      <c r="R29" s="60">
        <f t="shared" si="10"/>
        <v>23.1</v>
      </c>
      <c r="S29" s="61">
        <v>10</v>
      </c>
      <c r="T29" s="57">
        <v>10</v>
      </c>
      <c r="U29" s="57">
        <v>10</v>
      </c>
      <c r="V29" s="57">
        <v>8</v>
      </c>
      <c r="W29" s="57">
        <v>6</v>
      </c>
      <c r="X29" s="57">
        <v>6</v>
      </c>
      <c r="Y29" s="57">
        <v>6</v>
      </c>
      <c r="Z29" s="57">
        <v>6</v>
      </c>
      <c r="AA29" s="57">
        <v>6</v>
      </c>
      <c r="AB29" s="57">
        <v>6</v>
      </c>
      <c r="AC29" s="38">
        <f t="shared" si="0"/>
        <v>74</v>
      </c>
      <c r="AD29" s="59">
        <f t="shared" si="1"/>
        <v>74</v>
      </c>
      <c r="AE29" s="60">
        <f t="shared" si="2"/>
        <v>37</v>
      </c>
      <c r="AF29" s="139">
        <v>26</v>
      </c>
      <c r="AG29" s="59">
        <f t="shared" si="3"/>
        <v>86.67</v>
      </c>
      <c r="AH29" s="60">
        <f t="shared" si="4"/>
        <v>17.329999999999998</v>
      </c>
      <c r="AI29" s="62">
        <f t="shared" si="5"/>
        <v>77.430000000000007</v>
      </c>
      <c r="AJ29" s="63">
        <f t="shared" si="6"/>
        <v>85</v>
      </c>
      <c r="AK29" s="2"/>
      <c r="AL29" s="4"/>
      <c r="AM29" s="2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2"/>
      <c r="BF29" s="12">
        <f t="shared" si="7"/>
        <v>86.666666666666671</v>
      </c>
    </row>
    <row r="30" spans="1:58" ht="18" customHeight="1" thickBot="1">
      <c r="A30" s="134">
        <v>19</v>
      </c>
      <c r="B30" s="206" t="s">
        <v>120</v>
      </c>
      <c r="C30" s="207"/>
      <c r="D30" s="64"/>
      <c r="E30" s="65"/>
      <c r="F30" s="56">
        <v>5</v>
      </c>
      <c r="G30" s="56">
        <v>6</v>
      </c>
      <c r="H30" s="56">
        <v>6</v>
      </c>
      <c r="I30" s="56">
        <v>6</v>
      </c>
      <c r="J30" s="56">
        <v>7</v>
      </c>
      <c r="K30" s="56">
        <v>6</v>
      </c>
      <c r="L30" s="56">
        <v>6</v>
      </c>
      <c r="M30" s="56">
        <v>5</v>
      </c>
      <c r="N30" s="56">
        <v>5</v>
      </c>
      <c r="O30" s="56">
        <v>9</v>
      </c>
      <c r="P30" s="56">
        <f t="shared" si="8"/>
        <v>61</v>
      </c>
      <c r="Q30" s="59">
        <f t="shared" si="9"/>
        <v>61</v>
      </c>
      <c r="R30" s="60">
        <f t="shared" si="10"/>
        <v>18.3</v>
      </c>
      <c r="S30" s="61">
        <v>6</v>
      </c>
      <c r="T30" s="57">
        <v>8</v>
      </c>
      <c r="U30" s="57">
        <v>6</v>
      </c>
      <c r="V30" s="57">
        <v>5</v>
      </c>
      <c r="W30" s="57">
        <v>7</v>
      </c>
      <c r="X30" s="57">
        <v>7</v>
      </c>
      <c r="Y30" s="57">
        <v>5</v>
      </c>
      <c r="Z30" s="57">
        <v>7</v>
      </c>
      <c r="AA30" s="57">
        <v>10</v>
      </c>
      <c r="AB30" s="57">
        <v>10</v>
      </c>
      <c r="AC30" s="38">
        <f t="shared" si="0"/>
        <v>71</v>
      </c>
      <c r="AD30" s="59">
        <f t="shared" si="1"/>
        <v>71</v>
      </c>
      <c r="AE30" s="60">
        <f t="shared" si="2"/>
        <v>35.5</v>
      </c>
      <c r="AF30" s="139">
        <v>23</v>
      </c>
      <c r="AG30" s="59">
        <f t="shared" si="3"/>
        <v>76.67</v>
      </c>
      <c r="AH30" s="60">
        <f t="shared" si="4"/>
        <v>15.33</v>
      </c>
      <c r="AI30" s="62">
        <f t="shared" si="5"/>
        <v>69.13</v>
      </c>
      <c r="AJ30" s="63">
        <f t="shared" si="6"/>
        <v>80</v>
      </c>
      <c r="AK30" s="2"/>
      <c r="AL30" s="16"/>
      <c r="AM30" s="2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2"/>
      <c r="BF30" s="12">
        <f t="shared" si="7"/>
        <v>76.666666666666671</v>
      </c>
    </row>
    <row r="31" spans="1:58" ht="18" customHeight="1" thickBot="1">
      <c r="A31" s="134">
        <v>20</v>
      </c>
      <c r="B31" s="246" t="s">
        <v>121</v>
      </c>
      <c r="C31" s="247"/>
      <c r="D31" s="64"/>
      <c r="E31" s="65"/>
      <c r="F31" s="56">
        <v>6</v>
      </c>
      <c r="G31" s="56">
        <v>6</v>
      </c>
      <c r="H31" s="56">
        <v>6</v>
      </c>
      <c r="I31" s="56">
        <v>6</v>
      </c>
      <c r="J31" s="56">
        <v>5</v>
      </c>
      <c r="K31" s="56">
        <v>6</v>
      </c>
      <c r="L31" s="56">
        <v>5</v>
      </c>
      <c r="M31" s="56">
        <v>5</v>
      </c>
      <c r="N31" s="56">
        <v>4</v>
      </c>
      <c r="O31" s="56">
        <v>9</v>
      </c>
      <c r="P31" s="56">
        <f t="shared" si="8"/>
        <v>58</v>
      </c>
      <c r="Q31" s="59">
        <f t="shared" si="9"/>
        <v>58</v>
      </c>
      <c r="R31" s="60">
        <f t="shared" si="10"/>
        <v>17.399999999999999</v>
      </c>
      <c r="S31" s="61">
        <v>10</v>
      </c>
      <c r="T31" s="57">
        <v>6</v>
      </c>
      <c r="U31" s="57">
        <v>6</v>
      </c>
      <c r="V31" s="57">
        <v>10</v>
      </c>
      <c r="W31" s="57">
        <v>6</v>
      </c>
      <c r="X31" s="57">
        <v>6</v>
      </c>
      <c r="Y31" s="57">
        <v>8</v>
      </c>
      <c r="Z31" s="57">
        <v>6</v>
      </c>
      <c r="AA31" s="57">
        <v>8</v>
      </c>
      <c r="AB31" s="57">
        <v>10</v>
      </c>
      <c r="AC31" s="38">
        <f t="shared" si="0"/>
        <v>76</v>
      </c>
      <c r="AD31" s="59">
        <f t="shared" si="1"/>
        <v>76</v>
      </c>
      <c r="AE31" s="60">
        <f t="shared" si="2"/>
        <v>38</v>
      </c>
      <c r="AF31" s="139">
        <v>15</v>
      </c>
      <c r="AG31" s="59">
        <f t="shared" si="3"/>
        <v>50</v>
      </c>
      <c r="AH31" s="60">
        <f t="shared" si="4"/>
        <v>10</v>
      </c>
      <c r="AI31" s="62">
        <f t="shared" si="5"/>
        <v>65.400000000000006</v>
      </c>
      <c r="AJ31" s="63">
        <f t="shared" si="6"/>
        <v>78</v>
      </c>
      <c r="AK31" s="2"/>
      <c r="AL31" s="4"/>
      <c r="AM31" s="2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2"/>
      <c r="BF31" s="12">
        <f t="shared" si="7"/>
        <v>50</v>
      </c>
    </row>
    <row r="32" spans="1:58" ht="18" customHeight="1" thickBot="1">
      <c r="A32" s="17"/>
      <c r="B32" s="123" t="s">
        <v>11</v>
      </c>
      <c r="C32" s="85"/>
      <c r="D32" s="85"/>
      <c r="E32" s="85"/>
      <c r="F32" s="81"/>
      <c r="G32" s="82"/>
      <c r="H32" s="82"/>
      <c r="I32" s="82"/>
      <c r="J32" s="82"/>
      <c r="K32" s="82"/>
      <c r="L32" s="82"/>
      <c r="M32" s="82"/>
      <c r="N32" s="82"/>
      <c r="O32" s="83"/>
      <c r="P32" s="84"/>
      <c r="Q32" s="84"/>
      <c r="R32" s="137"/>
      <c r="S32" s="137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52"/>
      <c r="AJ32" s="53"/>
    </row>
    <row r="33" spans="1:58" ht="18" customHeight="1" thickBot="1">
      <c r="A33" s="133">
        <v>1</v>
      </c>
      <c r="B33" s="248" t="s">
        <v>122</v>
      </c>
      <c r="C33" s="249"/>
      <c r="D33" s="14"/>
      <c r="E33" s="15"/>
      <c r="F33" s="56">
        <v>9</v>
      </c>
      <c r="G33" s="56">
        <v>9</v>
      </c>
      <c r="H33" s="57">
        <v>8</v>
      </c>
      <c r="I33" s="57">
        <v>8</v>
      </c>
      <c r="J33" s="57">
        <v>7</v>
      </c>
      <c r="K33" s="56">
        <v>6</v>
      </c>
      <c r="L33" s="56">
        <v>8</v>
      </c>
      <c r="M33" s="57">
        <v>9</v>
      </c>
      <c r="N33" s="57">
        <v>9</v>
      </c>
      <c r="O33" s="57">
        <v>7</v>
      </c>
      <c r="P33" s="58">
        <f t="shared" ref="P33:P52" si="11">IF(COUNT($F33:$O33)=0,"",SUM($F33:$O33))</f>
        <v>80</v>
      </c>
      <c r="Q33" s="59">
        <f t="shared" ref="Q33:Q52" si="12">IF(ISERROR(IF($P33="","",ROUND(($P33/$P$10)*$Q$10,2))),"",IF($P33="","",ROUND(($P33/$P$10)*$Q$10,2)))</f>
        <v>80</v>
      </c>
      <c r="R33" s="60">
        <f t="shared" ref="R33:R52" si="13">IF($Q33="","",ROUND($Q33*$R$10,2))</f>
        <v>24</v>
      </c>
      <c r="S33" s="61">
        <v>8</v>
      </c>
      <c r="T33" s="57">
        <v>8</v>
      </c>
      <c r="U33" s="57">
        <v>9</v>
      </c>
      <c r="V33" s="57">
        <v>10</v>
      </c>
      <c r="W33" s="57">
        <v>10</v>
      </c>
      <c r="X33" s="57">
        <v>10</v>
      </c>
      <c r="Y33" s="57">
        <v>10</v>
      </c>
      <c r="Z33" s="57">
        <v>6</v>
      </c>
      <c r="AA33" s="57">
        <v>6</v>
      </c>
      <c r="AB33" s="57">
        <v>6</v>
      </c>
      <c r="AC33" s="38">
        <f t="shared" ref="AC33:AC52" si="14">IF(COUNT($S33:$AB33)=0,"",SUM($S33:$AB33))</f>
        <v>83</v>
      </c>
      <c r="AD33" s="59">
        <f t="shared" ref="AD33:AD52" si="15">IF(ISERROR(IF($AC33="","",ROUND(($AC33/$AC$10)*$AD$10,2))),"",IF($AC33="","",ROUND(($AC33/$AC$10)*$AD$10,2)))</f>
        <v>83</v>
      </c>
      <c r="AE33" s="60">
        <f t="shared" ref="AE33:AE52" si="16">IF($AD33="","",ROUND($AD33*$AE$10,2))</f>
        <v>41.5</v>
      </c>
      <c r="AF33" s="139">
        <v>18</v>
      </c>
      <c r="AG33" s="59">
        <f t="shared" ref="AG33:AG52" si="17">IF(ISERROR(IF($AF33="","",ROUND(($AF33/$AF$10)*$AG$10,2))),"",IF($AF33="","",ROUND(($AF33/$AF$10)*$AG$10,2)))</f>
        <v>60</v>
      </c>
      <c r="AH33" s="60">
        <f t="shared" ref="AH33:AH52" si="18">IF($AG33="","",ROUND($AG33*$AH$10,2))</f>
        <v>12</v>
      </c>
      <c r="AI33" s="62">
        <f t="shared" ref="AI33:AI52" si="19">IF(ISERROR(IF($AF33="","",ROUND(SUM($R33,$AE33,$AH33),2))),"",IF($AF33="","",ROUND(SUM($R33,$AE33,$AH33),2)))</f>
        <v>77.5</v>
      </c>
      <c r="AJ33" s="63">
        <f t="shared" ref="AJ33:AJ52" si="20">IF(ISERROR(IF($AF33="","",VLOOKUP(AI33,TRANSMUTATION_TABLE,4,TRUE))),"",IF($AF33="","",VLOOKUP(AI33,TRANSMUTATION_TABLE,4,TRUE)))</f>
        <v>85</v>
      </c>
    </row>
    <row r="34" spans="1:58" ht="18" customHeight="1" thickBot="1">
      <c r="A34" s="134">
        <v>2</v>
      </c>
      <c r="B34" s="250" t="s">
        <v>123</v>
      </c>
      <c r="C34" s="251"/>
      <c r="D34" s="64"/>
      <c r="E34" s="65"/>
      <c r="F34" s="56">
        <v>9</v>
      </c>
      <c r="G34" s="56">
        <v>6</v>
      </c>
      <c r="H34" s="57">
        <v>6</v>
      </c>
      <c r="I34" s="57">
        <v>6</v>
      </c>
      <c r="J34" s="57">
        <v>6</v>
      </c>
      <c r="K34" s="56">
        <v>8</v>
      </c>
      <c r="L34" s="56">
        <v>9</v>
      </c>
      <c r="M34" s="57">
        <v>9</v>
      </c>
      <c r="N34" s="57">
        <v>10</v>
      </c>
      <c r="O34" s="57">
        <v>10</v>
      </c>
      <c r="P34" s="58">
        <f t="shared" si="11"/>
        <v>79</v>
      </c>
      <c r="Q34" s="59">
        <f t="shared" si="12"/>
        <v>79</v>
      </c>
      <c r="R34" s="60">
        <f t="shared" si="13"/>
        <v>23.7</v>
      </c>
      <c r="S34" s="61">
        <v>8</v>
      </c>
      <c r="T34" s="57">
        <v>6</v>
      </c>
      <c r="U34" s="57">
        <v>10</v>
      </c>
      <c r="V34" s="57">
        <v>6</v>
      </c>
      <c r="W34" s="57">
        <v>6</v>
      </c>
      <c r="X34" s="57">
        <v>6</v>
      </c>
      <c r="Y34" s="57">
        <v>7</v>
      </c>
      <c r="Z34" s="57">
        <v>6</v>
      </c>
      <c r="AA34" s="57">
        <v>5</v>
      </c>
      <c r="AB34" s="57">
        <v>5</v>
      </c>
      <c r="AC34" s="38">
        <f t="shared" si="14"/>
        <v>65</v>
      </c>
      <c r="AD34" s="59">
        <f t="shared" si="15"/>
        <v>65</v>
      </c>
      <c r="AE34" s="60">
        <f t="shared" si="16"/>
        <v>32.5</v>
      </c>
      <c r="AF34" s="139">
        <v>24</v>
      </c>
      <c r="AG34" s="59">
        <f t="shared" si="17"/>
        <v>80</v>
      </c>
      <c r="AH34" s="60">
        <f t="shared" si="18"/>
        <v>16</v>
      </c>
      <c r="AI34" s="62">
        <f t="shared" si="19"/>
        <v>72.2</v>
      </c>
      <c r="AJ34" s="63">
        <f t="shared" si="20"/>
        <v>82</v>
      </c>
      <c r="AK34" s="2"/>
      <c r="AL34" s="4"/>
      <c r="AM34" s="2"/>
      <c r="AN34" s="3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12" t="e">
        <f>(#REF!/$AF$10)*100</f>
        <v>#REF!</v>
      </c>
    </row>
    <row r="35" spans="1:58" ht="18" customHeight="1" thickBot="1">
      <c r="A35" s="134">
        <v>3</v>
      </c>
      <c r="B35" s="250" t="s">
        <v>124</v>
      </c>
      <c r="C35" s="251"/>
      <c r="D35" s="64"/>
      <c r="E35" s="65"/>
      <c r="F35" s="56">
        <v>6</v>
      </c>
      <c r="G35" s="56">
        <v>6</v>
      </c>
      <c r="H35" s="57">
        <v>6</v>
      </c>
      <c r="I35" s="57">
        <v>6</v>
      </c>
      <c r="J35" s="57">
        <v>8</v>
      </c>
      <c r="K35" s="56">
        <v>8</v>
      </c>
      <c r="L35" s="56">
        <v>8</v>
      </c>
      <c r="M35" s="57">
        <v>8</v>
      </c>
      <c r="N35" s="57">
        <v>9</v>
      </c>
      <c r="O35" s="57">
        <v>10</v>
      </c>
      <c r="P35" s="58">
        <f t="shared" si="11"/>
        <v>75</v>
      </c>
      <c r="Q35" s="59">
        <f t="shared" si="12"/>
        <v>75</v>
      </c>
      <c r="R35" s="60">
        <f t="shared" si="13"/>
        <v>22.5</v>
      </c>
      <c r="S35" s="61">
        <v>6</v>
      </c>
      <c r="T35" s="57">
        <v>6</v>
      </c>
      <c r="U35" s="57">
        <v>6</v>
      </c>
      <c r="V35" s="57">
        <v>5</v>
      </c>
      <c r="W35" s="57">
        <v>8</v>
      </c>
      <c r="X35" s="57">
        <v>9</v>
      </c>
      <c r="Y35" s="57">
        <v>7</v>
      </c>
      <c r="Z35" s="57">
        <v>6</v>
      </c>
      <c r="AA35" s="57">
        <v>8</v>
      </c>
      <c r="AB35" s="57">
        <v>10</v>
      </c>
      <c r="AC35" s="38">
        <f t="shared" si="14"/>
        <v>71</v>
      </c>
      <c r="AD35" s="59">
        <f t="shared" si="15"/>
        <v>71</v>
      </c>
      <c r="AE35" s="60">
        <f t="shared" si="16"/>
        <v>35.5</v>
      </c>
      <c r="AF35" s="139">
        <v>22</v>
      </c>
      <c r="AG35" s="59">
        <f t="shared" si="17"/>
        <v>73.33</v>
      </c>
      <c r="AH35" s="60">
        <f t="shared" si="18"/>
        <v>14.67</v>
      </c>
      <c r="AI35" s="62">
        <f t="shared" si="19"/>
        <v>72.67</v>
      </c>
      <c r="AJ35" s="63">
        <f t="shared" si="20"/>
        <v>82</v>
      </c>
      <c r="AK35" s="2"/>
      <c r="AL35" s="4"/>
      <c r="AM35" s="2"/>
      <c r="AN35" s="3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12" t="e">
        <f>(#REF!/$AF$10)*100</f>
        <v>#REF!</v>
      </c>
    </row>
    <row r="36" spans="1:58" ht="18" customHeight="1" thickBot="1">
      <c r="A36" s="134">
        <v>4</v>
      </c>
      <c r="B36" s="250" t="s">
        <v>125</v>
      </c>
      <c r="C36" s="251"/>
      <c r="D36" s="64"/>
      <c r="E36" s="65"/>
      <c r="F36" s="56">
        <v>10</v>
      </c>
      <c r="G36" s="56">
        <v>9</v>
      </c>
      <c r="H36" s="57">
        <v>8</v>
      </c>
      <c r="I36" s="57">
        <v>7</v>
      </c>
      <c r="J36" s="57">
        <v>8</v>
      </c>
      <c r="K36" s="56">
        <v>9</v>
      </c>
      <c r="L36" s="56">
        <v>8</v>
      </c>
      <c r="M36" s="57">
        <v>9</v>
      </c>
      <c r="N36" s="57">
        <v>8</v>
      </c>
      <c r="O36" s="57">
        <v>10</v>
      </c>
      <c r="P36" s="58">
        <f t="shared" si="11"/>
        <v>86</v>
      </c>
      <c r="Q36" s="59">
        <f t="shared" si="12"/>
        <v>86</v>
      </c>
      <c r="R36" s="60">
        <f t="shared" si="13"/>
        <v>25.8</v>
      </c>
      <c r="S36" s="61">
        <v>6</v>
      </c>
      <c r="T36" s="57">
        <v>6</v>
      </c>
      <c r="U36" s="57">
        <v>5</v>
      </c>
      <c r="V36" s="57">
        <v>4</v>
      </c>
      <c r="W36" s="57">
        <v>10</v>
      </c>
      <c r="X36" s="57">
        <v>6</v>
      </c>
      <c r="Y36" s="57">
        <v>10</v>
      </c>
      <c r="Z36" s="57">
        <v>6</v>
      </c>
      <c r="AA36" s="57">
        <v>6</v>
      </c>
      <c r="AB36" s="57">
        <v>10</v>
      </c>
      <c r="AC36" s="38">
        <f t="shared" si="14"/>
        <v>69</v>
      </c>
      <c r="AD36" s="59">
        <f t="shared" si="15"/>
        <v>69</v>
      </c>
      <c r="AE36" s="60">
        <f t="shared" si="16"/>
        <v>34.5</v>
      </c>
      <c r="AF36" s="139">
        <v>20</v>
      </c>
      <c r="AG36" s="59">
        <f t="shared" si="17"/>
        <v>66.67</v>
      </c>
      <c r="AH36" s="60">
        <f t="shared" si="18"/>
        <v>13.33</v>
      </c>
      <c r="AI36" s="62">
        <f t="shared" si="19"/>
        <v>73.63</v>
      </c>
      <c r="AJ36" s="63">
        <f t="shared" si="20"/>
        <v>83</v>
      </c>
      <c r="AK36" s="2"/>
      <c r="AL36" s="4"/>
      <c r="AM36" s="2"/>
      <c r="AN36" s="3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12" t="e">
        <f>(#REF!/$AF$10)*100</f>
        <v>#REF!</v>
      </c>
    </row>
    <row r="37" spans="1:58" ht="18" customHeight="1" thickBot="1">
      <c r="A37" s="134">
        <v>5</v>
      </c>
      <c r="B37" s="250" t="s">
        <v>126</v>
      </c>
      <c r="C37" s="251"/>
      <c r="D37" s="64"/>
      <c r="E37" s="65"/>
      <c r="F37" s="56">
        <v>6</v>
      </c>
      <c r="G37" s="56">
        <v>9</v>
      </c>
      <c r="H37" s="57">
        <v>9</v>
      </c>
      <c r="I37" s="57">
        <v>8</v>
      </c>
      <c r="J37" s="57">
        <v>9</v>
      </c>
      <c r="K37" s="56">
        <v>9</v>
      </c>
      <c r="L37" s="56">
        <v>6</v>
      </c>
      <c r="M37" s="57">
        <v>8</v>
      </c>
      <c r="N37" s="57">
        <v>6</v>
      </c>
      <c r="O37" s="57">
        <v>6</v>
      </c>
      <c r="P37" s="58">
        <f t="shared" si="11"/>
        <v>76</v>
      </c>
      <c r="Q37" s="59">
        <f t="shared" si="12"/>
        <v>76</v>
      </c>
      <c r="R37" s="60">
        <f t="shared" si="13"/>
        <v>22.8</v>
      </c>
      <c r="S37" s="61">
        <v>10</v>
      </c>
      <c r="T37" s="57">
        <v>10</v>
      </c>
      <c r="U37" s="57">
        <v>10</v>
      </c>
      <c r="V37" s="57">
        <v>10</v>
      </c>
      <c r="W37" s="57">
        <v>10</v>
      </c>
      <c r="X37" s="57">
        <v>7</v>
      </c>
      <c r="Y37" s="57">
        <v>7</v>
      </c>
      <c r="Z37" s="57">
        <v>8</v>
      </c>
      <c r="AA37" s="57">
        <v>8</v>
      </c>
      <c r="AB37" s="57">
        <v>9</v>
      </c>
      <c r="AC37" s="38">
        <f t="shared" si="14"/>
        <v>89</v>
      </c>
      <c r="AD37" s="59">
        <f t="shared" si="15"/>
        <v>89</v>
      </c>
      <c r="AE37" s="60">
        <f t="shared" si="16"/>
        <v>44.5</v>
      </c>
      <c r="AF37" s="139">
        <v>26</v>
      </c>
      <c r="AG37" s="59">
        <f t="shared" si="17"/>
        <v>86.67</v>
      </c>
      <c r="AH37" s="60">
        <f t="shared" si="18"/>
        <v>17.329999999999998</v>
      </c>
      <c r="AI37" s="62">
        <f t="shared" si="19"/>
        <v>84.63</v>
      </c>
      <c r="AJ37" s="63">
        <f t="shared" si="20"/>
        <v>90</v>
      </c>
      <c r="AK37" s="2"/>
      <c r="AL37" s="4"/>
      <c r="AM37" s="2"/>
      <c r="AN37" s="3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12" t="e">
        <f>(#REF!/$AF$10)*100</f>
        <v>#REF!</v>
      </c>
    </row>
    <row r="38" spans="1:58" ht="18" customHeight="1" thickBot="1">
      <c r="A38" s="134">
        <v>6</v>
      </c>
      <c r="B38" s="250" t="s">
        <v>127</v>
      </c>
      <c r="C38" s="251"/>
      <c r="D38" s="64"/>
      <c r="E38" s="65"/>
      <c r="F38" s="56">
        <v>10</v>
      </c>
      <c r="G38" s="56">
        <v>10</v>
      </c>
      <c r="H38" s="57">
        <v>9</v>
      </c>
      <c r="I38" s="57">
        <v>9</v>
      </c>
      <c r="J38" s="57">
        <v>8</v>
      </c>
      <c r="K38" s="56">
        <v>10</v>
      </c>
      <c r="L38" s="56">
        <v>10</v>
      </c>
      <c r="M38" s="57">
        <v>10</v>
      </c>
      <c r="N38" s="57">
        <v>10</v>
      </c>
      <c r="O38" s="57">
        <v>10</v>
      </c>
      <c r="P38" s="58">
        <f t="shared" si="11"/>
        <v>96</v>
      </c>
      <c r="Q38" s="59">
        <f t="shared" si="12"/>
        <v>96</v>
      </c>
      <c r="R38" s="60">
        <f t="shared" si="13"/>
        <v>28.8</v>
      </c>
      <c r="S38" s="61">
        <v>9</v>
      </c>
      <c r="T38" s="57">
        <v>10</v>
      </c>
      <c r="U38" s="57">
        <v>10</v>
      </c>
      <c r="V38" s="57">
        <v>10</v>
      </c>
      <c r="W38" s="57">
        <v>10</v>
      </c>
      <c r="X38" s="57">
        <v>10</v>
      </c>
      <c r="Y38" s="57">
        <v>10</v>
      </c>
      <c r="Z38" s="57">
        <v>6</v>
      </c>
      <c r="AA38" s="57">
        <v>6</v>
      </c>
      <c r="AB38" s="57">
        <v>6</v>
      </c>
      <c r="AC38" s="38">
        <f t="shared" si="14"/>
        <v>87</v>
      </c>
      <c r="AD38" s="59">
        <f t="shared" si="15"/>
        <v>87</v>
      </c>
      <c r="AE38" s="60">
        <f t="shared" si="16"/>
        <v>43.5</v>
      </c>
      <c r="AF38" s="139">
        <v>18</v>
      </c>
      <c r="AG38" s="59">
        <f t="shared" si="17"/>
        <v>60</v>
      </c>
      <c r="AH38" s="60">
        <f t="shared" si="18"/>
        <v>12</v>
      </c>
      <c r="AI38" s="62">
        <f t="shared" si="19"/>
        <v>84.3</v>
      </c>
      <c r="AJ38" s="63">
        <f t="shared" si="20"/>
        <v>90</v>
      </c>
      <c r="AK38" s="2"/>
      <c r="AL38" s="4"/>
      <c r="AM38" s="2"/>
      <c r="AN38" s="3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12">
        <f t="shared" ref="BF38:BF54" si="21">(AF32/$AF$10)*100</f>
        <v>0</v>
      </c>
    </row>
    <row r="39" spans="1:58" ht="18" customHeight="1" thickBot="1">
      <c r="A39" s="134">
        <v>7</v>
      </c>
      <c r="B39" s="250" t="s">
        <v>128</v>
      </c>
      <c r="C39" s="251"/>
      <c r="D39" s="64"/>
      <c r="E39" s="65"/>
      <c r="F39" s="56">
        <v>8</v>
      </c>
      <c r="G39" s="56">
        <v>8</v>
      </c>
      <c r="H39" s="57">
        <v>6</v>
      </c>
      <c r="I39" s="57">
        <v>6</v>
      </c>
      <c r="J39" s="57">
        <v>7</v>
      </c>
      <c r="K39" s="56">
        <v>5</v>
      </c>
      <c r="L39" s="56">
        <v>6</v>
      </c>
      <c r="M39" s="57">
        <v>6</v>
      </c>
      <c r="N39" s="57">
        <v>6</v>
      </c>
      <c r="O39" s="57">
        <v>6</v>
      </c>
      <c r="P39" s="58">
        <f t="shared" si="11"/>
        <v>64</v>
      </c>
      <c r="Q39" s="59">
        <f t="shared" si="12"/>
        <v>64</v>
      </c>
      <c r="R39" s="60">
        <f t="shared" si="13"/>
        <v>19.2</v>
      </c>
      <c r="S39" s="61">
        <v>10</v>
      </c>
      <c r="T39" s="57">
        <v>10</v>
      </c>
      <c r="U39" s="57">
        <v>8</v>
      </c>
      <c r="V39" s="57">
        <v>10</v>
      </c>
      <c r="W39" s="57">
        <v>10</v>
      </c>
      <c r="X39" s="57">
        <v>6</v>
      </c>
      <c r="Y39" s="57">
        <v>10</v>
      </c>
      <c r="Z39" s="57">
        <v>6</v>
      </c>
      <c r="AA39" s="57">
        <v>6</v>
      </c>
      <c r="AB39" s="57">
        <v>6</v>
      </c>
      <c r="AC39" s="38">
        <f t="shared" si="14"/>
        <v>82</v>
      </c>
      <c r="AD39" s="59">
        <f t="shared" si="15"/>
        <v>82</v>
      </c>
      <c r="AE39" s="60">
        <f t="shared" si="16"/>
        <v>41</v>
      </c>
      <c r="AF39" s="139">
        <v>25</v>
      </c>
      <c r="AG39" s="59">
        <f t="shared" si="17"/>
        <v>83.33</v>
      </c>
      <c r="AH39" s="60">
        <f t="shared" si="18"/>
        <v>16.670000000000002</v>
      </c>
      <c r="AI39" s="62">
        <f t="shared" si="19"/>
        <v>76.87</v>
      </c>
      <c r="AJ39" s="63">
        <f t="shared" si="20"/>
        <v>85</v>
      </c>
      <c r="AK39" s="2"/>
      <c r="AL39" s="4"/>
      <c r="AM39" s="2"/>
      <c r="AN39" s="3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12">
        <f t="shared" si="21"/>
        <v>60</v>
      </c>
    </row>
    <row r="40" spans="1:58" ht="18" customHeight="1" thickBot="1">
      <c r="A40" s="134">
        <v>8</v>
      </c>
      <c r="B40" s="250" t="s">
        <v>129</v>
      </c>
      <c r="C40" s="251"/>
      <c r="D40" s="64"/>
      <c r="E40" s="65"/>
      <c r="F40" s="56">
        <v>4</v>
      </c>
      <c r="G40" s="56">
        <v>8</v>
      </c>
      <c r="H40" s="57">
        <v>6</v>
      </c>
      <c r="I40" s="57">
        <v>6</v>
      </c>
      <c r="J40" s="57">
        <v>4</v>
      </c>
      <c r="K40" s="56">
        <v>5</v>
      </c>
      <c r="L40" s="56">
        <v>6</v>
      </c>
      <c r="M40" s="57">
        <v>5</v>
      </c>
      <c r="N40" s="57">
        <v>10</v>
      </c>
      <c r="O40" s="57">
        <v>10</v>
      </c>
      <c r="P40" s="58">
        <f t="shared" si="11"/>
        <v>64</v>
      </c>
      <c r="Q40" s="59">
        <f t="shared" si="12"/>
        <v>64</v>
      </c>
      <c r="R40" s="60">
        <f t="shared" si="13"/>
        <v>19.2</v>
      </c>
      <c r="S40" s="61">
        <v>6</v>
      </c>
      <c r="T40" s="57">
        <v>6</v>
      </c>
      <c r="U40" s="57">
        <v>9</v>
      </c>
      <c r="V40" s="57">
        <v>9</v>
      </c>
      <c r="W40" s="57">
        <v>9</v>
      </c>
      <c r="X40" s="57">
        <v>5</v>
      </c>
      <c r="Y40" s="57">
        <v>8</v>
      </c>
      <c r="Z40" s="57">
        <v>6</v>
      </c>
      <c r="AA40" s="57">
        <v>6</v>
      </c>
      <c r="AB40" s="57">
        <v>6</v>
      </c>
      <c r="AC40" s="38">
        <f t="shared" si="14"/>
        <v>70</v>
      </c>
      <c r="AD40" s="59">
        <f t="shared" si="15"/>
        <v>70</v>
      </c>
      <c r="AE40" s="60">
        <f t="shared" si="16"/>
        <v>35</v>
      </c>
      <c r="AF40" s="139">
        <v>14</v>
      </c>
      <c r="AG40" s="59">
        <f t="shared" si="17"/>
        <v>46.67</v>
      </c>
      <c r="AH40" s="60">
        <f t="shared" si="18"/>
        <v>9.33</v>
      </c>
      <c r="AI40" s="62">
        <f t="shared" si="19"/>
        <v>63.53</v>
      </c>
      <c r="AJ40" s="63">
        <f t="shared" si="20"/>
        <v>77</v>
      </c>
      <c r="AK40" s="2"/>
      <c r="AL40" s="4"/>
      <c r="AM40" s="2"/>
      <c r="AN40" s="3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12">
        <f t="shared" si="21"/>
        <v>80</v>
      </c>
    </row>
    <row r="41" spans="1:58" ht="18" customHeight="1" thickBot="1">
      <c r="A41" s="134">
        <v>9</v>
      </c>
      <c r="B41" s="250" t="s">
        <v>130</v>
      </c>
      <c r="C41" s="251"/>
      <c r="D41" s="64"/>
      <c r="E41" s="65"/>
      <c r="F41" s="56">
        <v>8</v>
      </c>
      <c r="G41" s="56">
        <v>8</v>
      </c>
      <c r="H41" s="57">
        <v>7</v>
      </c>
      <c r="I41" s="57">
        <v>9</v>
      </c>
      <c r="J41" s="57">
        <v>9</v>
      </c>
      <c r="K41" s="56">
        <v>9</v>
      </c>
      <c r="L41" s="56">
        <v>9</v>
      </c>
      <c r="M41" s="57">
        <v>8</v>
      </c>
      <c r="N41" s="57">
        <v>9</v>
      </c>
      <c r="O41" s="57">
        <v>9</v>
      </c>
      <c r="P41" s="58">
        <f t="shared" si="11"/>
        <v>85</v>
      </c>
      <c r="Q41" s="59">
        <f t="shared" si="12"/>
        <v>85</v>
      </c>
      <c r="R41" s="60">
        <f t="shared" si="13"/>
        <v>25.5</v>
      </c>
      <c r="S41" s="61">
        <v>10</v>
      </c>
      <c r="T41" s="57">
        <v>10</v>
      </c>
      <c r="U41" s="57">
        <v>10</v>
      </c>
      <c r="V41" s="57">
        <v>10</v>
      </c>
      <c r="W41" s="57">
        <v>8</v>
      </c>
      <c r="X41" s="57">
        <v>6</v>
      </c>
      <c r="Y41" s="57">
        <v>7</v>
      </c>
      <c r="Z41" s="57">
        <v>7</v>
      </c>
      <c r="AA41" s="57">
        <v>7</v>
      </c>
      <c r="AB41" s="57">
        <v>7</v>
      </c>
      <c r="AC41" s="38">
        <f t="shared" si="14"/>
        <v>82</v>
      </c>
      <c r="AD41" s="59">
        <f t="shared" si="15"/>
        <v>82</v>
      </c>
      <c r="AE41" s="60">
        <f t="shared" si="16"/>
        <v>41</v>
      </c>
      <c r="AF41" s="139">
        <v>27</v>
      </c>
      <c r="AG41" s="59">
        <f t="shared" si="17"/>
        <v>90</v>
      </c>
      <c r="AH41" s="60">
        <f t="shared" si="18"/>
        <v>18</v>
      </c>
      <c r="AI41" s="62">
        <f t="shared" si="19"/>
        <v>84.5</v>
      </c>
      <c r="AJ41" s="63">
        <f t="shared" si="20"/>
        <v>90</v>
      </c>
      <c r="AK41" s="2"/>
      <c r="AL41" s="4"/>
      <c r="AM41" s="2"/>
      <c r="AN41" s="3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12">
        <f t="shared" si="21"/>
        <v>73.333333333333329</v>
      </c>
    </row>
    <row r="42" spans="1:58" ht="18" customHeight="1" thickBot="1">
      <c r="A42" s="134">
        <v>10</v>
      </c>
      <c r="B42" s="250" t="s">
        <v>131</v>
      </c>
      <c r="C42" s="251"/>
      <c r="D42" s="64"/>
      <c r="E42" s="65"/>
      <c r="F42" s="56">
        <v>9</v>
      </c>
      <c r="G42" s="56">
        <v>9</v>
      </c>
      <c r="H42" s="57">
        <v>9</v>
      </c>
      <c r="I42" s="57">
        <v>8</v>
      </c>
      <c r="J42" s="57">
        <v>5</v>
      </c>
      <c r="K42" s="56">
        <v>6</v>
      </c>
      <c r="L42" s="56">
        <v>6</v>
      </c>
      <c r="M42" s="57">
        <v>4</v>
      </c>
      <c r="N42" s="57">
        <v>6</v>
      </c>
      <c r="O42" s="57">
        <v>6</v>
      </c>
      <c r="P42" s="58">
        <f t="shared" si="11"/>
        <v>68</v>
      </c>
      <c r="Q42" s="59">
        <f t="shared" si="12"/>
        <v>68</v>
      </c>
      <c r="R42" s="60">
        <f t="shared" si="13"/>
        <v>20.399999999999999</v>
      </c>
      <c r="S42" s="61">
        <v>9</v>
      </c>
      <c r="T42" s="57">
        <v>8</v>
      </c>
      <c r="U42" s="57">
        <v>6</v>
      </c>
      <c r="V42" s="57">
        <v>6</v>
      </c>
      <c r="W42" s="57">
        <v>10</v>
      </c>
      <c r="X42" s="57">
        <v>6</v>
      </c>
      <c r="Y42" s="57">
        <v>7</v>
      </c>
      <c r="Z42" s="57">
        <v>8</v>
      </c>
      <c r="AA42" s="57">
        <v>8</v>
      </c>
      <c r="AB42" s="57">
        <v>6</v>
      </c>
      <c r="AC42" s="38">
        <f t="shared" si="14"/>
        <v>74</v>
      </c>
      <c r="AD42" s="59">
        <f t="shared" si="15"/>
        <v>74</v>
      </c>
      <c r="AE42" s="60">
        <f t="shared" si="16"/>
        <v>37</v>
      </c>
      <c r="AF42" s="139">
        <v>22</v>
      </c>
      <c r="AG42" s="59">
        <f t="shared" si="17"/>
        <v>73.33</v>
      </c>
      <c r="AH42" s="60">
        <f t="shared" si="18"/>
        <v>14.67</v>
      </c>
      <c r="AI42" s="62">
        <f t="shared" si="19"/>
        <v>72.069999999999993</v>
      </c>
      <c r="AJ42" s="63">
        <f t="shared" si="20"/>
        <v>82</v>
      </c>
      <c r="AK42" s="2"/>
      <c r="AL42" s="4"/>
      <c r="AM42" s="2"/>
      <c r="AN42" s="3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12">
        <f t="shared" si="21"/>
        <v>66.666666666666657</v>
      </c>
    </row>
    <row r="43" spans="1:58" ht="18" customHeight="1" thickBot="1">
      <c r="A43" s="134">
        <v>11</v>
      </c>
      <c r="B43" s="250" t="s">
        <v>132</v>
      </c>
      <c r="C43" s="251"/>
      <c r="D43" s="64"/>
      <c r="E43" s="65"/>
      <c r="F43" s="56">
        <v>8</v>
      </c>
      <c r="G43" s="56">
        <v>8</v>
      </c>
      <c r="H43" s="57">
        <v>6</v>
      </c>
      <c r="I43" s="57">
        <v>6</v>
      </c>
      <c r="J43" s="57">
        <v>6</v>
      </c>
      <c r="K43" s="56">
        <v>7</v>
      </c>
      <c r="L43" s="56">
        <v>7</v>
      </c>
      <c r="M43" s="57">
        <v>8</v>
      </c>
      <c r="N43" s="57">
        <v>9</v>
      </c>
      <c r="O43" s="57">
        <v>9</v>
      </c>
      <c r="P43" s="58">
        <f t="shared" si="11"/>
        <v>74</v>
      </c>
      <c r="Q43" s="59">
        <f t="shared" si="12"/>
        <v>74</v>
      </c>
      <c r="R43" s="60">
        <f t="shared" si="13"/>
        <v>22.2</v>
      </c>
      <c r="S43" s="61">
        <v>6</v>
      </c>
      <c r="T43" s="57">
        <v>7</v>
      </c>
      <c r="U43" s="57">
        <v>10</v>
      </c>
      <c r="V43" s="57">
        <v>10</v>
      </c>
      <c r="W43" s="57">
        <v>10</v>
      </c>
      <c r="X43" s="57">
        <v>6</v>
      </c>
      <c r="Y43" s="57">
        <v>7</v>
      </c>
      <c r="Z43" s="57">
        <v>6</v>
      </c>
      <c r="AA43" s="57">
        <v>5</v>
      </c>
      <c r="AB43" s="57">
        <v>10</v>
      </c>
      <c r="AC43" s="38">
        <f t="shared" si="14"/>
        <v>77</v>
      </c>
      <c r="AD43" s="59">
        <f t="shared" si="15"/>
        <v>77</v>
      </c>
      <c r="AE43" s="60">
        <f t="shared" si="16"/>
        <v>38.5</v>
      </c>
      <c r="AF43" s="139">
        <v>25</v>
      </c>
      <c r="AG43" s="59">
        <f t="shared" si="17"/>
        <v>83.33</v>
      </c>
      <c r="AH43" s="60">
        <f t="shared" si="18"/>
        <v>16.670000000000002</v>
      </c>
      <c r="AI43" s="62">
        <f t="shared" si="19"/>
        <v>77.37</v>
      </c>
      <c r="AJ43" s="63">
        <f t="shared" si="20"/>
        <v>85</v>
      </c>
      <c r="AK43" s="2"/>
      <c r="AL43" s="4"/>
      <c r="AM43" s="2"/>
      <c r="AN43" s="3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12">
        <f t="shared" si="21"/>
        <v>86.666666666666671</v>
      </c>
    </row>
    <row r="44" spans="1:58" ht="18" customHeight="1" thickBot="1">
      <c r="A44" s="134">
        <v>12</v>
      </c>
      <c r="B44" s="250" t="s">
        <v>133</v>
      </c>
      <c r="C44" s="251"/>
      <c r="D44" s="64"/>
      <c r="E44" s="65"/>
      <c r="F44" s="56">
        <v>7</v>
      </c>
      <c r="G44" s="56">
        <v>7</v>
      </c>
      <c r="H44" s="57">
        <v>8</v>
      </c>
      <c r="I44" s="57">
        <v>6</v>
      </c>
      <c r="J44" s="57">
        <v>7</v>
      </c>
      <c r="K44" s="56">
        <v>6</v>
      </c>
      <c r="L44" s="56">
        <v>8</v>
      </c>
      <c r="M44" s="57">
        <v>9</v>
      </c>
      <c r="N44" s="57">
        <v>9</v>
      </c>
      <c r="O44" s="57">
        <v>9</v>
      </c>
      <c r="P44" s="58">
        <f t="shared" si="11"/>
        <v>76</v>
      </c>
      <c r="Q44" s="59">
        <f t="shared" si="12"/>
        <v>76</v>
      </c>
      <c r="R44" s="60">
        <f t="shared" si="13"/>
        <v>22.8</v>
      </c>
      <c r="S44" s="61">
        <v>6</v>
      </c>
      <c r="T44" s="57">
        <v>6</v>
      </c>
      <c r="U44" s="57">
        <v>6</v>
      </c>
      <c r="V44" s="57">
        <v>6</v>
      </c>
      <c r="W44" s="57">
        <v>8</v>
      </c>
      <c r="X44" s="57">
        <v>5</v>
      </c>
      <c r="Y44" s="57">
        <v>7</v>
      </c>
      <c r="Z44" s="57">
        <v>6</v>
      </c>
      <c r="AA44" s="57">
        <v>6</v>
      </c>
      <c r="AB44" s="57">
        <v>7</v>
      </c>
      <c r="AC44" s="38">
        <f t="shared" si="14"/>
        <v>63</v>
      </c>
      <c r="AD44" s="59">
        <f t="shared" si="15"/>
        <v>63</v>
      </c>
      <c r="AE44" s="60">
        <f t="shared" si="16"/>
        <v>31.5</v>
      </c>
      <c r="AF44" s="139">
        <v>26</v>
      </c>
      <c r="AG44" s="59">
        <f t="shared" si="17"/>
        <v>86.67</v>
      </c>
      <c r="AH44" s="60">
        <f t="shared" si="18"/>
        <v>17.329999999999998</v>
      </c>
      <c r="AI44" s="62">
        <f t="shared" si="19"/>
        <v>71.63</v>
      </c>
      <c r="AJ44" s="63">
        <f t="shared" si="20"/>
        <v>82</v>
      </c>
      <c r="AK44" s="2"/>
      <c r="AL44" s="4"/>
      <c r="AM44" s="2"/>
      <c r="AN44" s="3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12">
        <f t="shared" si="21"/>
        <v>60</v>
      </c>
    </row>
    <row r="45" spans="1:58" ht="18" customHeight="1" thickBot="1">
      <c r="A45" s="134">
        <v>13</v>
      </c>
      <c r="B45" s="250" t="s">
        <v>134</v>
      </c>
      <c r="C45" s="251"/>
      <c r="D45" s="64"/>
      <c r="E45" s="65"/>
      <c r="F45" s="56">
        <v>9</v>
      </c>
      <c r="G45" s="56">
        <v>8</v>
      </c>
      <c r="H45" s="57">
        <v>6</v>
      </c>
      <c r="I45" s="57">
        <v>6</v>
      </c>
      <c r="J45" s="57">
        <v>6</v>
      </c>
      <c r="K45" s="56">
        <v>6</v>
      </c>
      <c r="L45" s="56">
        <v>5</v>
      </c>
      <c r="M45" s="57">
        <v>5</v>
      </c>
      <c r="N45" s="57">
        <v>10</v>
      </c>
      <c r="O45" s="57">
        <v>10</v>
      </c>
      <c r="P45" s="58">
        <f t="shared" si="11"/>
        <v>71</v>
      </c>
      <c r="Q45" s="59">
        <f t="shared" si="12"/>
        <v>71</v>
      </c>
      <c r="R45" s="60">
        <f t="shared" si="13"/>
        <v>21.3</v>
      </c>
      <c r="S45" s="61">
        <v>6</v>
      </c>
      <c r="T45" s="57">
        <v>7</v>
      </c>
      <c r="U45" s="57">
        <v>8</v>
      </c>
      <c r="V45" s="57">
        <v>6</v>
      </c>
      <c r="W45" s="57">
        <v>6</v>
      </c>
      <c r="X45" s="57">
        <v>6</v>
      </c>
      <c r="Y45" s="57">
        <v>6</v>
      </c>
      <c r="Z45" s="57">
        <v>7</v>
      </c>
      <c r="AA45" s="57">
        <v>6</v>
      </c>
      <c r="AB45" s="57">
        <v>6</v>
      </c>
      <c r="AC45" s="38">
        <f t="shared" si="14"/>
        <v>64</v>
      </c>
      <c r="AD45" s="59">
        <f t="shared" si="15"/>
        <v>64</v>
      </c>
      <c r="AE45" s="60">
        <f t="shared" si="16"/>
        <v>32</v>
      </c>
      <c r="AF45" s="139">
        <v>27</v>
      </c>
      <c r="AG45" s="59">
        <f t="shared" si="17"/>
        <v>90</v>
      </c>
      <c r="AH45" s="60">
        <f t="shared" si="18"/>
        <v>18</v>
      </c>
      <c r="AI45" s="62">
        <f t="shared" si="19"/>
        <v>71.3</v>
      </c>
      <c r="AJ45" s="63">
        <f t="shared" si="20"/>
        <v>82</v>
      </c>
      <c r="AK45" s="2"/>
      <c r="AL45" s="4"/>
      <c r="AM45" s="2"/>
      <c r="AN45" s="3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12">
        <f t="shared" si="21"/>
        <v>83.333333333333343</v>
      </c>
    </row>
    <row r="46" spans="1:58" ht="18" customHeight="1" thickBot="1">
      <c r="A46" s="134">
        <v>14</v>
      </c>
      <c r="B46" s="250" t="s">
        <v>135</v>
      </c>
      <c r="C46" s="251"/>
      <c r="D46" s="64"/>
      <c r="E46" s="65"/>
      <c r="F46" s="56">
        <v>9</v>
      </c>
      <c r="G46" s="56">
        <v>9</v>
      </c>
      <c r="H46" s="57">
        <v>8</v>
      </c>
      <c r="I46" s="57">
        <v>8</v>
      </c>
      <c r="J46" s="57">
        <v>6</v>
      </c>
      <c r="K46" s="56">
        <v>6</v>
      </c>
      <c r="L46" s="56">
        <v>6</v>
      </c>
      <c r="M46" s="57">
        <v>8</v>
      </c>
      <c r="N46" s="57">
        <v>10</v>
      </c>
      <c r="O46" s="57">
        <v>10</v>
      </c>
      <c r="P46" s="58">
        <f t="shared" si="11"/>
        <v>80</v>
      </c>
      <c r="Q46" s="59">
        <f t="shared" si="12"/>
        <v>80</v>
      </c>
      <c r="R46" s="60">
        <f t="shared" si="13"/>
        <v>24</v>
      </c>
      <c r="S46" s="61">
        <v>6</v>
      </c>
      <c r="T46" s="57">
        <v>7</v>
      </c>
      <c r="U46" s="57">
        <v>10</v>
      </c>
      <c r="V46" s="57">
        <v>10</v>
      </c>
      <c r="W46" s="57">
        <v>6</v>
      </c>
      <c r="X46" s="57">
        <v>10</v>
      </c>
      <c r="Y46" s="57">
        <v>8</v>
      </c>
      <c r="Z46" s="57">
        <v>10</v>
      </c>
      <c r="AA46" s="57">
        <v>10</v>
      </c>
      <c r="AB46" s="57">
        <v>10</v>
      </c>
      <c r="AC46" s="38">
        <f t="shared" si="14"/>
        <v>87</v>
      </c>
      <c r="AD46" s="59">
        <f t="shared" si="15"/>
        <v>87</v>
      </c>
      <c r="AE46" s="60">
        <f t="shared" si="16"/>
        <v>43.5</v>
      </c>
      <c r="AF46" s="139">
        <v>24</v>
      </c>
      <c r="AG46" s="59">
        <f t="shared" si="17"/>
        <v>80</v>
      </c>
      <c r="AH46" s="60">
        <f t="shared" si="18"/>
        <v>16</v>
      </c>
      <c r="AI46" s="62">
        <f t="shared" si="19"/>
        <v>83.5</v>
      </c>
      <c r="AJ46" s="63">
        <f t="shared" si="20"/>
        <v>89</v>
      </c>
      <c r="AK46" s="2"/>
      <c r="AL46" s="4"/>
      <c r="AM46" s="2"/>
      <c r="AN46" s="3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12">
        <f t="shared" si="21"/>
        <v>46.666666666666664</v>
      </c>
    </row>
    <row r="47" spans="1:58" ht="18" customHeight="1" thickBot="1">
      <c r="A47" s="134">
        <v>15</v>
      </c>
      <c r="B47" s="250" t="s">
        <v>136</v>
      </c>
      <c r="C47" s="251"/>
      <c r="D47" s="64"/>
      <c r="E47" s="65"/>
      <c r="F47" s="56">
        <v>10</v>
      </c>
      <c r="G47" s="56">
        <v>10</v>
      </c>
      <c r="H47" s="57">
        <v>6</v>
      </c>
      <c r="I47" s="57">
        <v>6</v>
      </c>
      <c r="J47" s="57">
        <v>6</v>
      </c>
      <c r="K47" s="56">
        <v>7</v>
      </c>
      <c r="L47" s="56">
        <v>6</v>
      </c>
      <c r="M47" s="57">
        <v>8</v>
      </c>
      <c r="N47" s="57">
        <v>9</v>
      </c>
      <c r="O47" s="57">
        <v>7</v>
      </c>
      <c r="P47" s="58">
        <f t="shared" si="11"/>
        <v>75</v>
      </c>
      <c r="Q47" s="59">
        <f t="shared" si="12"/>
        <v>75</v>
      </c>
      <c r="R47" s="60">
        <f t="shared" si="13"/>
        <v>22.5</v>
      </c>
      <c r="S47" s="61">
        <v>10</v>
      </c>
      <c r="T47" s="57">
        <v>10</v>
      </c>
      <c r="U47" s="57">
        <v>8</v>
      </c>
      <c r="V47" s="57">
        <v>5</v>
      </c>
      <c r="W47" s="57">
        <v>6</v>
      </c>
      <c r="X47" s="57">
        <v>7</v>
      </c>
      <c r="Y47" s="57">
        <v>7</v>
      </c>
      <c r="Z47" s="57">
        <v>7</v>
      </c>
      <c r="AA47" s="57">
        <v>9</v>
      </c>
      <c r="AB47" s="57">
        <v>8</v>
      </c>
      <c r="AC47" s="38">
        <f t="shared" si="14"/>
        <v>77</v>
      </c>
      <c r="AD47" s="59">
        <f t="shared" si="15"/>
        <v>77</v>
      </c>
      <c r="AE47" s="60">
        <f t="shared" si="16"/>
        <v>38.5</v>
      </c>
      <c r="AF47" s="139">
        <v>26</v>
      </c>
      <c r="AG47" s="59">
        <f t="shared" si="17"/>
        <v>86.67</v>
      </c>
      <c r="AH47" s="60">
        <f t="shared" si="18"/>
        <v>17.329999999999998</v>
      </c>
      <c r="AI47" s="62">
        <f t="shared" si="19"/>
        <v>78.33</v>
      </c>
      <c r="AJ47" s="63">
        <f t="shared" si="20"/>
        <v>86</v>
      </c>
      <c r="AK47" s="2"/>
      <c r="AL47" s="4"/>
      <c r="AM47" s="2"/>
      <c r="AN47" s="3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12">
        <f t="shared" si="21"/>
        <v>90</v>
      </c>
    </row>
    <row r="48" spans="1:58" ht="18" customHeight="1" thickBot="1">
      <c r="A48" s="134">
        <v>16</v>
      </c>
      <c r="B48" s="250" t="s">
        <v>137</v>
      </c>
      <c r="C48" s="251"/>
      <c r="D48" s="64"/>
      <c r="E48" s="65"/>
      <c r="F48" s="56">
        <v>10</v>
      </c>
      <c r="G48" s="56">
        <v>9</v>
      </c>
      <c r="H48" s="57">
        <v>8</v>
      </c>
      <c r="I48" s="57">
        <v>6</v>
      </c>
      <c r="J48" s="57">
        <v>6</v>
      </c>
      <c r="K48" s="56">
        <v>6</v>
      </c>
      <c r="L48" s="56">
        <v>10</v>
      </c>
      <c r="M48" s="57">
        <v>7</v>
      </c>
      <c r="N48" s="57">
        <v>7</v>
      </c>
      <c r="O48" s="57">
        <v>7</v>
      </c>
      <c r="P48" s="58">
        <f t="shared" si="11"/>
        <v>76</v>
      </c>
      <c r="Q48" s="59">
        <f t="shared" si="12"/>
        <v>76</v>
      </c>
      <c r="R48" s="60">
        <f t="shared" si="13"/>
        <v>22.8</v>
      </c>
      <c r="S48" s="61">
        <v>6</v>
      </c>
      <c r="T48" s="57">
        <v>6</v>
      </c>
      <c r="U48" s="57">
        <v>6</v>
      </c>
      <c r="V48" s="57">
        <v>5</v>
      </c>
      <c r="W48" s="57">
        <v>5</v>
      </c>
      <c r="X48" s="57">
        <v>5</v>
      </c>
      <c r="Y48" s="57">
        <v>8</v>
      </c>
      <c r="Z48" s="57">
        <v>10</v>
      </c>
      <c r="AA48" s="57">
        <v>6</v>
      </c>
      <c r="AB48" s="57">
        <v>6</v>
      </c>
      <c r="AC48" s="38">
        <f t="shared" si="14"/>
        <v>63</v>
      </c>
      <c r="AD48" s="59">
        <f t="shared" si="15"/>
        <v>63</v>
      </c>
      <c r="AE48" s="60">
        <f t="shared" si="16"/>
        <v>31.5</v>
      </c>
      <c r="AF48" s="139">
        <v>27</v>
      </c>
      <c r="AG48" s="59">
        <f t="shared" si="17"/>
        <v>90</v>
      </c>
      <c r="AH48" s="60">
        <f t="shared" si="18"/>
        <v>18</v>
      </c>
      <c r="AI48" s="62">
        <f t="shared" si="19"/>
        <v>72.3</v>
      </c>
      <c r="AJ48" s="63">
        <f t="shared" si="20"/>
        <v>82</v>
      </c>
      <c r="AK48" s="2"/>
      <c r="AL48" s="4"/>
      <c r="AM48" s="2"/>
      <c r="AN48" s="3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12">
        <f t="shared" si="21"/>
        <v>73.333333333333329</v>
      </c>
    </row>
    <row r="49" spans="1:58" ht="18" customHeight="1" thickBot="1">
      <c r="A49" s="134">
        <v>17</v>
      </c>
      <c r="B49" s="250" t="s">
        <v>138</v>
      </c>
      <c r="C49" s="251"/>
      <c r="D49" s="64"/>
      <c r="E49" s="65"/>
      <c r="F49" s="56">
        <v>6</v>
      </c>
      <c r="G49" s="56">
        <v>6</v>
      </c>
      <c r="H49" s="57">
        <v>8</v>
      </c>
      <c r="I49" s="57">
        <v>6</v>
      </c>
      <c r="J49" s="57">
        <v>6</v>
      </c>
      <c r="K49" s="56">
        <v>8</v>
      </c>
      <c r="L49" s="56">
        <v>9</v>
      </c>
      <c r="M49" s="57">
        <v>9</v>
      </c>
      <c r="N49" s="57">
        <v>7</v>
      </c>
      <c r="O49" s="57">
        <v>7</v>
      </c>
      <c r="P49" s="58">
        <f t="shared" si="11"/>
        <v>72</v>
      </c>
      <c r="Q49" s="59">
        <f t="shared" si="12"/>
        <v>72</v>
      </c>
      <c r="R49" s="60">
        <f t="shared" si="13"/>
        <v>21.6</v>
      </c>
      <c r="S49" s="61">
        <v>6</v>
      </c>
      <c r="T49" s="57">
        <v>7</v>
      </c>
      <c r="U49" s="57">
        <v>10</v>
      </c>
      <c r="V49" s="57">
        <v>6</v>
      </c>
      <c r="W49" s="57">
        <v>6</v>
      </c>
      <c r="X49" s="57">
        <v>8</v>
      </c>
      <c r="Y49" s="57">
        <v>5</v>
      </c>
      <c r="Z49" s="57">
        <v>7</v>
      </c>
      <c r="AA49" s="57">
        <v>6</v>
      </c>
      <c r="AB49" s="57">
        <v>7</v>
      </c>
      <c r="AC49" s="38">
        <f t="shared" si="14"/>
        <v>68</v>
      </c>
      <c r="AD49" s="59">
        <f t="shared" si="15"/>
        <v>68</v>
      </c>
      <c r="AE49" s="60">
        <f t="shared" si="16"/>
        <v>34</v>
      </c>
      <c r="AF49" s="139">
        <v>24</v>
      </c>
      <c r="AG49" s="59">
        <f t="shared" si="17"/>
        <v>80</v>
      </c>
      <c r="AH49" s="60">
        <f t="shared" si="18"/>
        <v>16</v>
      </c>
      <c r="AI49" s="62">
        <f t="shared" si="19"/>
        <v>71.599999999999994</v>
      </c>
      <c r="AJ49" s="63">
        <f t="shared" si="20"/>
        <v>82</v>
      </c>
      <c r="AK49" s="2"/>
      <c r="AL49" s="4"/>
      <c r="AM49" s="2"/>
      <c r="AN49" s="3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12">
        <f t="shared" si="21"/>
        <v>83.333333333333343</v>
      </c>
    </row>
    <row r="50" spans="1:58" ht="18" customHeight="1" thickBot="1">
      <c r="A50" s="134">
        <v>18</v>
      </c>
      <c r="B50" s="250" t="s">
        <v>139</v>
      </c>
      <c r="C50" s="251"/>
      <c r="D50" s="64"/>
      <c r="E50" s="65"/>
      <c r="F50" s="56">
        <v>10</v>
      </c>
      <c r="G50" s="56">
        <v>10</v>
      </c>
      <c r="H50" s="57">
        <v>10</v>
      </c>
      <c r="I50" s="57">
        <v>10</v>
      </c>
      <c r="J50" s="57">
        <v>9</v>
      </c>
      <c r="K50" s="56">
        <v>8</v>
      </c>
      <c r="L50" s="56">
        <v>7</v>
      </c>
      <c r="M50" s="57">
        <v>9</v>
      </c>
      <c r="N50" s="57">
        <v>7</v>
      </c>
      <c r="O50" s="57">
        <v>8</v>
      </c>
      <c r="P50" s="58">
        <f t="shared" si="11"/>
        <v>88</v>
      </c>
      <c r="Q50" s="59">
        <f t="shared" si="12"/>
        <v>88</v>
      </c>
      <c r="R50" s="60">
        <f t="shared" si="13"/>
        <v>26.4</v>
      </c>
      <c r="S50" s="61">
        <v>8</v>
      </c>
      <c r="T50" s="57">
        <v>6</v>
      </c>
      <c r="U50" s="57">
        <v>6</v>
      </c>
      <c r="V50" s="57">
        <v>10</v>
      </c>
      <c r="W50" s="57">
        <v>10</v>
      </c>
      <c r="X50" s="57">
        <v>9</v>
      </c>
      <c r="Y50" s="57">
        <v>7</v>
      </c>
      <c r="Z50" s="57">
        <v>5</v>
      </c>
      <c r="AA50" s="57">
        <v>5</v>
      </c>
      <c r="AB50" s="57">
        <v>6</v>
      </c>
      <c r="AC50" s="38">
        <f t="shared" si="14"/>
        <v>72</v>
      </c>
      <c r="AD50" s="59">
        <f t="shared" si="15"/>
        <v>72</v>
      </c>
      <c r="AE50" s="60">
        <f t="shared" si="16"/>
        <v>36</v>
      </c>
      <c r="AF50" s="139">
        <v>21</v>
      </c>
      <c r="AG50" s="59">
        <f t="shared" si="17"/>
        <v>70</v>
      </c>
      <c r="AH50" s="60">
        <f t="shared" si="18"/>
        <v>14</v>
      </c>
      <c r="AI50" s="62">
        <f t="shared" si="19"/>
        <v>76.400000000000006</v>
      </c>
      <c r="AJ50" s="63">
        <f t="shared" si="20"/>
        <v>85</v>
      </c>
      <c r="AK50" s="2"/>
      <c r="AL50" s="4"/>
      <c r="AM50" s="2"/>
      <c r="AN50" s="3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12">
        <f t="shared" si="21"/>
        <v>86.666666666666671</v>
      </c>
    </row>
    <row r="51" spans="1:58" ht="18" customHeight="1" thickBot="1">
      <c r="A51" s="135">
        <v>19</v>
      </c>
      <c r="B51" s="250" t="s">
        <v>140</v>
      </c>
      <c r="C51" s="251"/>
      <c r="D51" s="126"/>
      <c r="E51" s="127"/>
      <c r="F51" s="141">
        <v>9</v>
      </c>
      <c r="G51" s="141">
        <v>8</v>
      </c>
      <c r="H51" s="136">
        <v>7</v>
      </c>
      <c r="I51" s="136">
        <v>7</v>
      </c>
      <c r="J51" s="136">
        <v>7</v>
      </c>
      <c r="K51" s="141">
        <v>8</v>
      </c>
      <c r="L51" s="141">
        <v>8</v>
      </c>
      <c r="M51" s="136">
        <v>9</v>
      </c>
      <c r="N51" s="136">
        <v>7</v>
      </c>
      <c r="O51" s="136">
        <v>8</v>
      </c>
      <c r="P51" s="128">
        <f t="shared" si="11"/>
        <v>78</v>
      </c>
      <c r="Q51" s="129">
        <f t="shared" si="12"/>
        <v>78</v>
      </c>
      <c r="R51" s="130">
        <f t="shared" si="13"/>
        <v>23.4</v>
      </c>
      <c r="S51" s="142">
        <v>10</v>
      </c>
      <c r="T51" s="136">
        <v>10</v>
      </c>
      <c r="U51" s="136">
        <v>10</v>
      </c>
      <c r="V51" s="136">
        <v>8</v>
      </c>
      <c r="W51" s="136">
        <v>6</v>
      </c>
      <c r="X51" s="136">
        <v>8</v>
      </c>
      <c r="Y51" s="136">
        <v>10</v>
      </c>
      <c r="Z51" s="136">
        <v>10</v>
      </c>
      <c r="AA51" s="136">
        <v>6</v>
      </c>
      <c r="AB51" s="136">
        <v>6</v>
      </c>
      <c r="AC51" s="140">
        <f t="shared" si="14"/>
        <v>84</v>
      </c>
      <c r="AD51" s="129">
        <f t="shared" si="15"/>
        <v>84</v>
      </c>
      <c r="AE51" s="130">
        <f t="shared" si="16"/>
        <v>42</v>
      </c>
      <c r="AF51" s="143">
        <v>20</v>
      </c>
      <c r="AG51" s="129">
        <f t="shared" si="17"/>
        <v>66.67</v>
      </c>
      <c r="AH51" s="130">
        <f t="shared" si="18"/>
        <v>13.33</v>
      </c>
      <c r="AI51" s="131">
        <f t="shared" si="19"/>
        <v>78.73</v>
      </c>
      <c r="AJ51" s="132">
        <f t="shared" si="20"/>
        <v>86</v>
      </c>
      <c r="AK51" s="2"/>
      <c r="AL51" s="4"/>
      <c r="AM51" s="2"/>
      <c r="AN51" s="3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12">
        <f t="shared" si="21"/>
        <v>90</v>
      </c>
    </row>
    <row r="52" spans="1:58" ht="18" customHeight="1" thickBot="1">
      <c r="A52" s="144">
        <v>20</v>
      </c>
      <c r="B52" s="252" t="s">
        <v>141</v>
      </c>
      <c r="C52" s="253"/>
      <c r="D52" s="145"/>
      <c r="E52" s="146"/>
      <c r="F52" s="147">
        <v>9</v>
      </c>
      <c r="G52" s="147">
        <v>9</v>
      </c>
      <c r="H52" s="148">
        <v>10</v>
      </c>
      <c r="I52" s="148">
        <v>9</v>
      </c>
      <c r="J52" s="148">
        <v>9</v>
      </c>
      <c r="K52" s="147">
        <v>9</v>
      </c>
      <c r="L52" s="147">
        <v>9</v>
      </c>
      <c r="M52" s="148">
        <v>9</v>
      </c>
      <c r="N52" s="148">
        <v>8</v>
      </c>
      <c r="O52" s="148">
        <v>8</v>
      </c>
      <c r="P52" s="149">
        <f t="shared" si="11"/>
        <v>89</v>
      </c>
      <c r="Q52" s="150">
        <f t="shared" si="12"/>
        <v>89</v>
      </c>
      <c r="R52" s="151">
        <f t="shared" si="13"/>
        <v>26.7</v>
      </c>
      <c r="S52" s="152">
        <v>7</v>
      </c>
      <c r="T52" s="148">
        <v>10</v>
      </c>
      <c r="U52" s="148">
        <v>10</v>
      </c>
      <c r="V52" s="148">
        <v>10</v>
      </c>
      <c r="W52" s="148">
        <v>6</v>
      </c>
      <c r="X52" s="148">
        <v>6</v>
      </c>
      <c r="Y52" s="148">
        <v>6</v>
      </c>
      <c r="Z52" s="148">
        <v>6</v>
      </c>
      <c r="AA52" s="148">
        <v>6</v>
      </c>
      <c r="AB52" s="148">
        <v>6</v>
      </c>
      <c r="AC52" s="153">
        <f t="shared" si="14"/>
        <v>73</v>
      </c>
      <c r="AD52" s="150">
        <f t="shared" si="15"/>
        <v>73</v>
      </c>
      <c r="AE52" s="151">
        <f t="shared" si="16"/>
        <v>36.5</v>
      </c>
      <c r="AF52" s="154">
        <v>24</v>
      </c>
      <c r="AG52" s="150">
        <f t="shared" si="17"/>
        <v>80</v>
      </c>
      <c r="AH52" s="151">
        <f t="shared" si="18"/>
        <v>16</v>
      </c>
      <c r="AI52" s="155">
        <f t="shared" si="19"/>
        <v>79.2</v>
      </c>
      <c r="AJ52" s="156">
        <f t="shared" si="20"/>
        <v>87</v>
      </c>
      <c r="AK52" s="2"/>
      <c r="AL52" s="4"/>
      <c r="AM52" s="2"/>
      <c r="AN52" s="3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12">
        <f t="shared" si="21"/>
        <v>80</v>
      </c>
    </row>
    <row r="53" spans="1:58" ht="18" customHeight="1">
      <c r="AK53" s="2"/>
      <c r="AL53" s="4"/>
      <c r="AM53" s="2"/>
      <c r="AN53" s="3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12">
        <f t="shared" si="21"/>
        <v>86.666666666666671</v>
      </c>
    </row>
    <row r="54" spans="1:58" ht="18" customHeight="1">
      <c r="AK54" s="2"/>
      <c r="AL54" s="4"/>
      <c r="AM54" s="2"/>
      <c r="AN54" s="3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12">
        <f t="shared" si="21"/>
        <v>90</v>
      </c>
    </row>
    <row r="55" spans="1:58" ht="18" customHeight="1">
      <c r="A55" s="2"/>
      <c r="B55" s="4"/>
      <c r="C55" s="2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12"/>
    </row>
    <row r="56" spans="1:58" ht="18" customHeight="1">
      <c r="A56" s="2"/>
      <c r="B56" s="4"/>
      <c r="C56" s="2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12"/>
    </row>
    <row r="57" spans="1:58" ht="18" customHeight="1">
      <c r="AK57" s="2"/>
      <c r="AL57" s="4"/>
      <c r="AM57" s="2"/>
      <c r="AN57" s="3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12">
        <f>(AF51/$AF$10)*100</f>
        <v>66.666666666666657</v>
      </c>
    </row>
    <row r="58" spans="1:58" ht="18" customHeight="1">
      <c r="AK58" s="2"/>
      <c r="AL58" s="4"/>
      <c r="AM58" s="2"/>
      <c r="AN58" s="3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12">
        <f>(AF52/$AF$10)*100</f>
        <v>80</v>
      </c>
    </row>
    <row r="59" spans="1:58" ht="17.45" customHeight="1">
      <c r="AK59" s="2"/>
      <c r="AL59" s="2"/>
      <c r="AM59" s="2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2"/>
      <c r="BF59" s="2"/>
    </row>
  </sheetData>
  <mergeCells count="70">
    <mergeCell ref="B51:C51"/>
    <mergeCell ref="B52:C52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0:C30"/>
    <mergeCell ref="B31:C31"/>
    <mergeCell ref="B33:C33"/>
    <mergeCell ref="B34:C34"/>
    <mergeCell ref="B35:C35"/>
    <mergeCell ref="B25:C25"/>
    <mergeCell ref="B26:C26"/>
    <mergeCell ref="B27:C27"/>
    <mergeCell ref="B28:C28"/>
    <mergeCell ref="B29:C29"/>
    <mergeCell ref="B20:C20"/>
    <mergeCell ref="B21:C21"/>
    <mergeCell ref="B22:C22"/>
    <mergeCell ref="B23:C23"/>
    <mergeCell ref="B24:C24"/>
    <mergeCell ref="AG5:AI5"/>
    <mergeCell ref="A1:AJ2"/>
    <mergeCell ref="A3:AJ3"/>
    <mergeCell ref="C4:F4"/>
    <mergeCell ref="G4:J4"/>
    <mergeCell ref="L4:N4"/>
    <mergeCell ref="O4:R4"/>
    <mergeCell ref="T4:W4"/>
    <mergeCell ref="X4:AC4"/>
    <mergeCell ref="AC7:AF7"/>
    <mergeCell ref="B5:F5"/>
    <mergeCell ref="G5:R5"/>
    <mergeCell ref="T5:W5"/>
    <mergeCell ref="X5:AC5"/>
    <mergeCell ref="AD5:AF5"/>
    <mergeCell ref="AL13:AM13"/>
    <mergeCell ref="B14:C14"/>
    <mergeCell ref="B15:C15"/>
    <mergeCell ref="AG7:AJ7"/>
    <mergeCell ref="B8:E8"/>
    <mergeCell ref="F8:R8"/>
    <mergeCell ref="S8:AE8"/>
    <mergeCell ref="AF8:AH8"/>
    <mergeCell ref="AI9:AI10"/>
    <mergeCell ref="AJ9:AJ10"/>
    <mergeCell ref="B10:E10"/>
    <mergeCell ref="A7:E7"/>
    <mergeCell ref="F7:J7"/>
    <mergeCell ref="K7:P7"/>
    <mergeCell ref="Q7:R7"/>
    <mergeCell ref="S7:AB7"/>
    <mergeCell ref="B16:C16"/>
    <mergeCell ref="B19:C19"/>
    <mergeCell ref="B11:E11"/>
    <mergeCell ref="B12:C12"/>
    <mergeCell ref="B13:C13"/>
    <mergeCell ref="B17:C17"/>
    <mergeCell ref="B18:C18"/>
  </mergeCells>
  <dataValidations count="2">
    <dataValidation type="decimal" operator="lessThanOrEqual" allowBlank="1" showInputMessage="1" showErrorMessage="1" prompt="Encode learner's raw score." sqref="S12:AB31 S33:AB52 F33:O52 F12:P31" xr:uid="{843C1E4B-76CC-4A15-B6F2-8190D0BA9499}">
      <formula1>F$10</formula1>
    </dataValidation>
    <dataValidation type="decimal" operator="lessThanOrEqual" allowBlank="1" showInputMessage="1" showErrorMessage="1" prompt="Encode learner's raw score" sqref="AF33:AF52 AF12:AF31" xr:uid="{5C469BA5-2D17-4EA6-B366-32B26B2C79D8}">
      <formula1>$AF$10</formula1>
    </dataValidation>
  </dataValidations>
  <pageMargins left="0.70866141732283472" right="0.70866141732283472" top="0.74803149606299213" bottom="0.74803149606299213" header="0.31496062992125984" footer="0.31496062992125984"/>
  <pageSetup paperSize="14" scale="60" fitToHeight="0" orientation="landscape" r:id="rId1"/>
  <colBreaks count="1" manualBreakCount="1">
    <brk id="36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ED43-1D8B-4056-AA18-86CD1B91476B}">
  <sheetPr>
    <tabColor rgb="FFFF9933"/>
    <pageSetUpPr fitToPage="1"/>
  </sheetPr>
  <dimension ref="A1:BF59"/>
  <sheetViews>
    <sheetView showGridLines="0" topLeftCell="A22" zoomScale="99" zoomScaleNormal="99" workbookViewId="0">
      <selection activeCell="X29" sqref="X29"/>
    </sheetView>
  </sheetViews>
  <sheetFormatPr defaultColWidth="14.42578125" defaultRowHeight="15" customHeight="1"/>
  <cols>
    <col min="1" max="1" width="4.140625" customWidth="1"/>
    <col min="2" max="2" width="28.7109375" customWidth="1"/>
    <col min="3" max="3" width="3.28515625" customWidth="1"/>
    <col min="4" max="4" width="3.28515625" hidden="1" customWidth="1"/>
    <col min="5" max="5" width="1" hidden="1" customWidth="1"/>
    <col min="6" max="15" width="4.42578125" customWidth="1"/>
    <col min="16" max="16" width="6.28515625" customWidth="1"/>
    <col min="17" max="17" width="8.5703125" customWidth="1"/>
    <col min="18" max="18" width="7.140625" customWidth="1"/>
    <col min="19" max="28" width="4.42578125" customWidth="1"/>
    <col min="29" max="29" width="6.28515625" customWidth="1"/>
    <col min="30" max="31" width="7.140625" customWidth="1"/>
    <col min="32" max="32" width="6.28515625" customWidth="1"/>
    <col min="33" max="34" width="7.140625" customWidth="1"/>
    <col min="35" max="36" width="10.28515625" customWidth="1"/>
    <col min="37" max="37" width="4.7109375" customWidth="1"/>
    <col min="38" max="38" width="24.7109375" customWidth="1"/>
    <col min="39" max="39" width="8.140625" customWidth="1"/>
    <col min="40" max="57" width="4.7109375" customWidth="1"/>
    <col min="58" max="58" width="4.7109375" hidden="1" customWidth="1"/>
  </cols>
  <sheetData>
    <row r="1" spans="1:58" ht="15" customHeight="1">
      <c r="A1" s="241" t="s">
        <v>12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"/>
      <c r="AL1" s="2"/>
      <c r="AM1" s="2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2"/>
      <c r="BF1" s="2"/>
    </row>
    <row r="2" spans="1:58" ht="15" customHeight="1">
      <c r="A2" s="233"/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"/>
      <c r="AL2" s="2"/>
      <c r="AM2" s="2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2"/>
      <c r="BF2" s="2"/>
    </row>
    <row r="3" spans="1:58" ht="15" customHeight="1">
      <c r="A3" s="242" t="s">
        <v>13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"/>
      <c r="AL3" s="2"/>
      <c r="AM3" s="2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2"/>
      <c r="BF3" s="2"/>
    </row>
    <row r="4" spans="1:58" ht="21" customHeight="1">
      <c r="A4" s="4"/>
      <c r="B4" s="5"/>
      <c r="C4" s="232" t="s">
        <v>0</v>
      </c>
      <c r="D4" s="233"/>
      <c r="E4" s="233"/>
      <c r="F4" s="233"/>
      <c r="G4" s="243" t="s">
        <v>93</v>
      </c>
      <c r="H4" s="235"/>
      <c r="I4" s="235"/>
      <c r="J4" s="236"/>
      <c r="K4" s="19"/>
      <c r="L4" s="244" t="s">
        <v>1</v>
      </c>
      <c r="M4" s="245"/>
      <c r="N4" s="245"/>
      <c r="O4" s="243" t="s">
        <v>95</v>
      </c>
      <c r="P4" s="235"/>
      <c r="Q4" s="235"/>
      <c r="R4" s="236"/>
      <c r="S4" s="20"/>
      <c r="T4" s="237" t="s">
        <v>2</v>
      </c>
      <c r="U4" s="233"/>
      <c r="V4" s="233"/>
      <c r="W4" s="233"/>
      <c r="X4" s="243" t="s">
        <v>94</v>
      </c>
      <c r="Y4" s="235"/>
      <c r="Z4" s="235"/>
      <c r="AA4" s="235"/>
      <c r="AB4" s="235"/>
      <c r="AC4" s="236"/>
      <c r="AD4" s="21"/>
      <c r="AE4" s="22"/>
      <c r="AF4" s="20"/>
      <c r="AG4" s="20"/>
      <c r="AH4" s="20"/>
      <c r="AI4" s="20"/>
      <c r="AJ4" s="6"/>
      <c r="AK4" s="6"/>
      <c r="AL4" s="6"/>
      <c r="AM4" s="6"/>
      <c r="AN4" s="6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2"/>
      <c r="BF4" s="2"/>
    </row>
    <row r="5" spans="1:58" ht="21.75" customHeight="1">
      <c r="A5" s="4"/>
      <c r="B5" s="232" t="s">
        <v>3</v>
      </c>
      <c r="C5" s="233"/>
      <c r="D5" s="233"/>
      <c r="E5" s="233"/>
      <c r="F5" s="233"/>
      <c r="G5" s="234" t="s">
        <v>70</v>
      </c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6"/>
      <c r="S5" s="19"/>
      <c r="T5" s="237" t="s">
        <v>4</v>
      </c>
      <c r="U5" s="233"/>
      <c r="V5" s="233"/>
      <c r="W5" s="233"/>
      <c r="X5" s="238">
        <v>136632</v>
      </c>
      <c r="Y5" s="235"/>
      <c r="Z5" s="235"/>
      <c r="AA5" s="235"/>
      <c r="AB5" s="235"/>
      <c r="AC5" s="236"/>
      <c r="AD5" s="239" t="s">
        <v>5</v>
      </c>
      <c r="AE5" s="233"/>
      <c r="AF5" s="240"/>
      <c r="AG5" s="234" t="s">
        <v>98</v>
      </c>
      <c r="AH5" s="235"/>
      <c r="AI5" s="236"/>
      <c r="AJ5" s="8"/>
      <c r="AK5" s="6"/>
      <c r="AL5" s="6"/>
      <c r="AM5" s="6"/>
      <c r="AN5" s="6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2"/>
      <c r="BF5" s="2"/>
    </row>
    <row r="6" spans="1:58" ht="13.5" customHeight="1" thickBo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7"/>
      <c r="R6" s="7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7"/>
      <c r="AE6" s="7"/>
      <c r="AF6" s="4"/>
      <c r="AG6" s="7"/>
      <c r="AH6" s="7"/>
      <c r="AI6" s="7"/>
      <c r="AJ6" s="9"/>
      <c r="AK6" s="2"/>
      <c r="AL6" s="2"/>
      <c r="AM6" s="2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2"/>
      <c r="BF6" s="2"/>
    </row>
    <row r="7" spans="1:58" ht="23.25" customHeight="1" thickBot="1">
      <c r="A7" s="228" t="s">
        <v>6</v>
      </c>
      <c r="B7" s="209"/>
      <c r="C7" s="209"/>
      <c r="D7" s="209"/>
      <c r="E7" s="210"/>
      <c r="F7" s="229" t="s">
        <v>7</v>
      </c>
      <c r="G7" s="209"/>
      <c r="H7" s="209"/>
      <c r="I7" s="209"/>
      <c r="J7" s="209"/>
      <c r="K7" s="215"/>
      <c r="L7" s="209"/>
      <c r="M7" s="209"/>
      <c r="N7" s="209"/>
      <c r="O7" s="209"/>
      <c r="P7" s="210"/>
      <c r="Q7" s="230" t="s">
        <v>8</v>
      </c>
      <c r="R7" s="209"/>
      <c r="S7" s="215"/>
      <c r="T7" s="209"/>
      <c r="U7" s="209"/>
      <c r="V7" s="209"/>
      <c r="W7" s="209"/>
      <c r="X7" s="209"/>
      <c r="Y7" s="209"/>
      <c r="Z7" s="209"/>
      <c r="AA7" s="209"/>
      <c r="AB7" s="210"/>
      <c r="AC7" s="231" t="s">
        <v>14</v>
      </c>
      <c r="AD7" s="209"/>
      <c r="AE7" s="209"/>
      <c r="AF7" s="209"/>
      <c r="AG7" s="254" t="s">
        <v>43</v>
      </c>
      <c r="AH7" s="209"/>
      <c r="AI7" s="209"/>
      <c r="AJ7" s="210"/>
      <c r="AK7" s="2"/>
      <c r="AL7" s="2"/>
      <c r="AM7" s="2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2"/>
      <c r="BF7" s="2"/>
    </row>
    <row r="8" spans="1:58" ht="55.5" customHeight="1" thickBot="1">
      <c r="A8" s="10"/>
      <c r="B8" s="216" t="s">
        <v>9</v>
      </c>
      <c r="C8" s="217"/>
      <c r="D8" s="217"/>
      <c r="E8" s="218"/>
      <c r="F8" s="219" t="s">
        <v>16</v>
      </c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20"/>
      <c r="S8" s="221" t="s">
        <v>17</v>
      </c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20"/>
      <c r="AF8" s="222" t="s">
        <v>18</v>
      </c>
      <c r="AG8" s="209"/>
      <c r="AH8" s="220"/>
      <c r="AI8" s="23" t="s">
        <v>19</v>
      </c>
      <c r="AJ8" s="24" t="s">
        <v>20</v>
      </c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</row>
    <row r="9" spans="1:58" ht="18" customHeight="1" thickBot="1">
      <c r="A9" s="25"/>
      <c r="B9" s="26"/>
      <c r="C9" s="26"/>
      <c r="D9" s="26"/>
      <c r="E9" s="27"/>
      <c r="F9" s="28">
        <v>1</v>
      </c>
      <c r="G9" s="29">
        <v>2</v>
      </c>
      <c r="H9" s="29">
        <v>3</v>
      </c>
      <c r="I9" s="29">
        <v>4</v>
      </c>
      <c r="J9" s="29">
        <v>5</v>
      </c>
      <c r="K9" s="29">
        <v>6</v>
      </c>
      <c r="L9" s="29">
        <v>7</v>
      </c>
      <c r="M9" s="29">
        <v>8</v>
      </c>
      <c r="N9" s="29">
        <v>9</v>
      </c>
      <c r="O9" s="30">
        <v>10</v>
      </c>
      <c r="P9" s="25" t="s">
        <v>21</v>
      </c>
      <c r="Q9" s="31" t="s">
        <v>22</v>
      </c>
      <c r="R9" s="32" t="s">
        <v>23</v>
      </c>
      <c r="S9" s="33">
        <v>1</v>
      </c>
      <c r="T9" s="29">
        <v>2</v>
      </c>
      <c r="U9" s="29">
        <v>3</v>
      </c>
      <c r="V9" s="29">
        <v>4</v>
      </c>
      <c r="W9" s="29">
        <v>5</v>
      </c>
      <c r="X9" s="29">
        <v>6</v>
      </c>
      <c r="Y9" s="29">
        <v>7</v>
      </c>
      <c r="Z9" s="29">
        <v>8</v>
      </c>
      <c r="AA9" s="29">
        <v>9</v>
      </c>
      <c r="AB9" s="30">
        <v>10</v>
      </c>
      <c r="AC9" s="25" t="s">
        <v>21</v>
      </c>
      <c r="AD9" s="31" t="s">
        <v>22</v>
      </c>
      <c r="AE9" s="32" t="s">
        <v>23</v>
      </c>
      <c r="AF9" s="34">
        <v>1</v>
      </c>
      <c r="AG9" s="31" t="s">
        <v>22</v>
      </c>
      <c r="AH9" s="32" t="s">
        <v>23</v>
      </c>
      <c r="AI9" s="223" t="s">
        <v>24</v>
      </c>
      <c r="AJ9" s="225" t="s">
        <v>24</v>
      </c>
      <c r="AK9" s="34"/>
      <c r="AL9" s="34"/>
      <c r="AM9" s="34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</row>
    <row r="10" spans="1:58" ht="18" customHeight="1" thickBot="1">
      <c r="A10" s="11"/>
      <c r="B10" s="227" t="s">
        <v>25</v>
      </c>
      <c r="C10" s="209"/>
      <c r="D10" s="209"/>
      <c r="E10" s="210"/>
      <c r="F10" s="36">
        <v>10</v>
      </c>
      <c r="G10" s="37">
        <v>10</v>
      </c>
      <c r="H10" s="37">
        <v>10</v>
      </c>
      <c r="I10" s="37">
        <v>10</v>
      </c>
      <c r="J10" s="37">
        <v>10</v>
      </c>
      <c r="K10" s="37">
        <v>10</v>
      </c>
      <c r="L10" s="37">
        <v>10</v>
      </c>
      <c r="M10" s="37">
        <v>10</v>
      </c>
      <c r="N10" s="37">
        <v>10</v>
      </c>
      <c r="O10" s="37">
        <v>10</v>
      </c>
      <c r="P10" s="38">
        <f>IF(COUNT($F10:$O10)=0,"",SUM($F10:$O10))</f>
        <v>100</v>
      </c>
      <c r="Q10" s="39">
        <v>100</v>
      </c>
      <c r="R10" s="40">
        <v>0.3</v>
      </c>
      <c r="S10" s="36">
        <v>10</v>
      </c>
      <c r="T10" s="36">
        <v>10</v>
      </c>
      <c r="U10" s="36">
        <v>10</v>
      </c>
      <c r="V10" s="36">
        <v>10</v>
      </c>
      <c r="W10" s="36">
        <v>10</v>
      </c>
      <c r="X10" s="36">
        <v>10</v>
      </c>
      <c r="Y10" s="36">
        <v>10</v>
      </c>
      <c r="Z10" s="36">
        <v>10</v>
      </c>
      <c r="AA10" s="36">
        <v>10</v>
      </c>
      <c r="AB10" s="36">
        <v>10</v>
      </c>
      <c r="AC10" s="38">
        <f>IF(COUNT($S10:$AB10)=0,"",SUM($S10:$AB10))</f>
        <v>100</v>
      </c>
      <c r="AD10" s="39">
        <v>100</v>
      </c>
      <c r="AE10" s="40">
        <v>0.5</v>
      </c>
      <c r="AF10" s="41">
        <v>30</v>
      </c>
      <c r="AG10" s="39">
        <v>100</v>
      </c>
      <c r="AH10" s="40">
        <v>0.2</v>
      </c>
      <c r="AI10" s="224"/>
      <c r="AJ10" s="226"/>
      <c r="AK10" s="12"/>
      <c r="AL10" s="42" t="s">
        <v>26</v>
      </c>
      <c r="AM10" s="43">
        <f>COUNTA(AF12:AF88)</f>
        <v>40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</row>
    <row r="11" spans="1:58" ht="18" customHeight="1" thickBot="1">
      <c r="A11" s="13"/>
      <c r="B11" s="208" t="s">
        <v>10</v>
      </c>
      <c r="C11" s="209"/>
      <c r="D11" s="209"/>
      <c r="E11" s="210"/>
      <c r="F11" s="44"/>
      <c r="G11" s="45"/>
      <c r="H11" s="45"/>
      <c r="I11" s="45"/>
      <c r="J11" s="45"/>
      <c r="K11" s="45"/>
      <c r="L11" s="45"/>
      <c r="M11" s="45"/>
      <c r="N11" s="45"/>
      <c r="O11" s="46"/>
      <c r="P11" s="47"/>
      <c r="Q11" s="48"/>
      <c r="R11" s="49"/>
      <c r="S11" s="50"/>
      <c r="T11" s="45"/>
      <c r="U11" s="45"/>
      <c r="V11" s="45"/>
      <c r="W11" s="45"/>
      <c r="X11" s="45"/>
      <c r="Y11" s="45"/>
      <c r="Z11" s="45"/>
      <c r="AA11" s="45"/>
      <c r="AB11" s="46"/>
      <c r="AC11" s="48"/>
      <c r="AD11" s="48"/>
      <c r="AE11" s="49"/>
      <c r="AF11" s="51"/>
      <c r="AG11" s="48"/>
      <c r="AH11" s="49"/>
      <c r="AI11" s="52"/>
      <c r="AJ11" s="53"/>
      <c r="AK11" s="12"/>
      <c r="AL11" s="54" t="s">
        <v>27</v>
      </c>
      <c r="AM11" s="55">
        <f>AF10</f>
        <v>30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</row>
    <row r="12" spans="1:58" ht="18" customHeight="1" thickBot="1">
      <c r="A12" s="133">
        <v>1</v>
      </c>
      <c r="B12" s="211" t="s">
        <v>102</v>
      </c>
      <c r="C12" s="212"/>
      <c r="D12" s="14"/>
      <c r="E12" s="15"/>
      <c r="F12" s="56">
        <v>10</v>
      </c>
      <c r="G12" s="56">
        <v>10</v>
      </c>
      <c r="H12" s="56">
        <v>5</v>
      </c>
      <c r="I12" s="56">
        <v>10</v>
      </c>
      <c r="J12" s="56">
        <v>4</v>
      </c>
      <c r="K12" s="56">
        <v>10</v>
      </c>
      <c r="L12" s="56">
        <v>10</v>
      </c>
      <c r="M12" s="56">
        <v>3</v>
      </c>
      <c r="N12" s="56">
        <v>10</v>
      </c>
      <c r="O12" s="56">
        <v>10</v>
      </c>
      <c r="P12" s="56">
        <f>SUM(F12:O12)</f>
        <v>82</v>
      </c>
      <c r="Q12" s="59">
        <f>IF(ISERROR(IF($P12="","",ROUND(($P12/$P$10)*$Q$10,2))),"",IF($P12="","",ROUND(($P12/$P$10)*$Q$10,2)))</f>
        <v>82</v>
      </c>
      <c r="R12" s="60">
        <f>IF($Q12="","",ROUND($Q12*$R$10,2))</f>
        <v>24.6</v>
      </c>
      <c r="S12" s="61">
        <v>6</v>
      </c>
      <c r="T12" s="57">
        <v>6</v>
      </c>
      <c r="U12" s="57">
        <v>6</v>
      </c>
      <c r="V12" s="57">
        <v>10</v>
      </c>
      <c r="W12" s="57">
        <v>10</v>
      </c>
      <c r="X12" s="57">
        <v>6</v>
      </c>
      <c r="Y12" s="57">
        <v>6</v>
      </c>
      <c r="Z12" s="57">
        <v>6</v>
      </c>
      <c r="AA12" s="57">
        <v>6</v>
      </c>
      <c r="AB12" s="57">
        <v>10</v>
      </c>
      <c r="AC12" s="38">
        <f t="shared" ref="AC12:AC31" si="0">IF(COUNT($S12:$AB12)=0,"",SUM($S12:$AB12))</f>
        <v>72</v>
      </c>
      <c r="AD12" s="59">
        <f t="shared" ref="AD12:AD31" si="1">IF(ISERROR(IF($AC12="","",ROUND(($AC12/$AC$10)*$AD$10,2))),"",IF($AC12="","",ROUND(($AC12/$AC$10)*$AD$10,2)))</f>
        <v>72</v>
      </c>
      <c r="AE12" s="60">
        <f t="shared" ref="AE12:AE31" si="2">IF($AD12="","",ROUND($AD12*$AE$10,2))</f>
        <v>36</v>
      </c>
      <c r="AF12" s="139">
        <v>27</v>
      </c>
      <c r="AG12" s="59">
        <f t="shared" ref="AG12:AG31" si="3">IF(ISERROR(IF($AF12="","",ROUND(($AF12/$AF$10)*$AG$10,2))),"",IF($AF12="","",ROUND(($AF12/$AF$10)*$AG$10,2)))</f>
        <v>90</v>
      </c>
      <c r="AH12" s="60">
        <f t="shared" ref="AH12:AH31" si="4">IF($AG12="","",ROUND($AG12*$AH$10,2))</f>
        <v>18</v>
      </c>
      <c r="AI12" s="62">
        <f t="shared" ref="AI12:AI31" si="5">IF(ISERROR(IF($AF12="","",ROUND(SUM($R12,$AE12,$AH12),2))),"",IF($AF12="","",ROUND(SUM($R12,$AE12,$AH12),2)))</f>
        <v>78.599999999999994</v>
      </c>
      <c r="AJ12" s="63">
        <f t="shared" ref="AJ12:AJ31" si="6">IF(ISERROR(IF($AF12="","",VLOOKUP(AI12,TRANSMUTATION_TABLE,4,TRUE))),"",IF($AF12="","",VLOOKUP(AI12,TRANSMUTATION_TABLE,4,TRUE)))</f>
        <v>86</v>
      </c>
      <c r="AK12" s="2"/>
      <c r="AL12" s="4"/>
      <c r="AM12" s="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>
        <f t="shared" ref="BF12:BF31" si="7">(AF12/$AF$10)*100</f>
        <v>90</v>
      </c>
    </row>
    <row r="13" spans="1:58" ht="18" customHeight="1" thickBot="1">
      <c r="A13" s="134">
        <v>2</v>
      </c>
      <c r="B13" s="206" t="s">
        <v>103</v>
      </c>
      <c r="C13" s="207"/>
      <c r="D13" s="64"/>
      <c r="E13" s="65"/>
      <c r="F13" s="56">
        <v>8</v>
      </c>
      <c r="G13" s="56">
        <v>8</v>
      </c>
      <c r="H13" s="56">
        <v>8</v>
      </c>
      <c r="I13" s="56">
        <v>4</v>
      </c>
      <c r="J13" s="56">
        <v>7</v>
      </c>
      <c r="K13" s="56">
        <v>4</v>
      </c>
      <c r="L13" s="56">
        <v>9</v>
      </c>
      <c r="M13" s="56">
        <v>8</v>
      </c>
      <c r="N13" s="56">
        <v>6</v>
      </c>
      <c r="O13" s="56">
        <v>4</v>
      </c>
      <c r="P13" s="56">
        <f t="shared" ref="P13:P31" si="8">SUM(F13:O13)</f>
        <v>66</v>
      </c>
      <c r="Q13" s="59">
        <f t="shared" ref="Q13:Q31" si="9">IF(ISERROR(IF($P13="","",ROUND(($P13/$P$10)*$Q$10,2))),"",IF($P13="","",ROUND(($P13/$P$10)*$Q$10,2)))</f>
        <v>66</v>
      </c>
      <c r="R13" s="60">
        <f>IF($Q13="","",ROUND($Q13*$R$10,2))</f>
        <v>19.8</v>
      </c>
      <c r="S13" s="61">
        <v>10</v>
      </c>
      <c r="T13" s="57">
        <v>7</v>
      </c>
      <c r="U13" s="57">
        <v>10</v>
      </c>
      <c r="V13" s="57">
        <v>6</v>
      </c>
      <c r="W13" s="57">
        <v>6</v>
      </c>
      <c r="X13" s="57">
        <v>6</v>
      </c>
      <c r="Y13" s="57">
        <v>6</v>
      </c>
      <c r="Z13" s="57">
        <v>6</v>
      </c>
      <c r="AA13" s="57">
        <v>10</v>
      </c>
      <c r="AB13" s="57">
        <v>10</v>
      </c>
      <c r="AC13" s="38">
        <f t="shared" si="0"/>
        <v>77</v>
      </c>
      <c r="AD13" s="59">
        <f t="shared" si="1"/>
        <v>77</v>
      </c>
      <c r="AE13" s="60">
        <f t="shared" si="2"/>
        <v>38.5</v>
      </c>
      <c r="AF13" s="139">
        <v>27</v>
      </c>
      <c r="AG13" s="59">
        <f t="shared" si="3"/>
        <v>90</v>
      </c>
      <c r="AH13" s="60">
        <f t="shared" si="4"/>
        <v>18</v>
      </c>
      <c r="AI13" s="62">
        <f t="shared" si="5"/>
        <v>76.3</v>
      </c>
      <c r="AJ13" s="63">
        <f t="shared" si="6"/>
        <v>85</v>
      </c>
      <c r="AK13" s="2"/>
      <c r="AL13" s="213" t="s">
        <v>28</v>
      </c>
      <c r="AM13" s="214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>
        <f t="shared" si="7"/>
        <v>90</v>
      </c>
    </row>
    <row r="14" spans="1:58" ht="18" customHeight="1" thickBot="1">
      <c r="A14" s="134">
        <v>3</v>
      </c>
      <c r="B14" s="206" t="s">
        <v>104</v>
      </c>
      <c r="C14" s="207"/>
      <c r="D14" s="64"/>
      <c r="E14" s="65"/>
      <c r="F14" s="56">
        <v>6</v>
      </c>
      <c r="G14" s="56">
        <v>8</v>
      </c>
      <c r="H14" s="56">
        <v>8</v>
      </c>
      <c r="I14" s="56">
        <v>8</v>
      </c>
      <c r="J14" s="56">
        <v>8</v>
      </c>
      <c r="K14" s="56">
        <v>10</v>
      </c>
      <c r="L14" s="56">
        <v>10</v>
      </c>
      <c r="M14" s="56">
        <v>6</v>
      </c>
      <c r="N14" s="56">
        <v>10</v>
      </c>
      <c r="O14" s="56">
        <v>6</v>
      </c>
      <c r="P14" s="56">
        <f t="shared" si="8"/>
        <v>80</v>
      </c>
      <c r="Q14" s="59">
        <f t="shared" si="9"/>
        <v>80</v>
      </c>
      <c r="R14" s="60">
        <f t="shared" ref="R14:R31" si="10">IF($Q14="","",ROUND($Q14*$R$10,2))</f>
        <v>24</v>
      </c>
      <c r="S14" s="61">
        <v>10</v>
      </c>
      <c r="T14" s="57">
        <v>10</v>
      </c>
      <c r="U14" s="57">
        <v>6</v>
      </c>
      <c r="V14" s="57">
        <v>6</v>
      </c>
      <c r="W14" s="57">
        <v>6</v>
      </c>
      <c r="X14" s="57">
        <v>6</v>
      </c>
      <c r="Y14" s="57">
        <v>6</v>
      </c>
      <c r="Z14" s="57">
        <v>6</v>
      </c>
      <c r="AA14" s="57">
        <v>10</v>
      </c>
      <c r="AB14" s="57">
        <v>6</v>
      </c>
      <c r="AC14" s="38">
        <f t="shared" si="0"/>
        <v>72</v>
      </c>
      <c r="AD14" s="59">
        <f t="shared" si="1"/>
        <v>72</v>
      </c>
      <c r="AE14" s="60">
        <f t="shared" si="2"/>
        <v>36</v>
      </c>
      <c r="AF14" s="139">
        <v>21</v>
      </c>
      <c r="AG14" s="59">
        <f t="shared" si="3"/>
        <v>70</v>
      </c>
      <c r="AH14" s="60">
        <f t="shared" si="4"/>
        <v>14</v>
      </c>
      <c r="AI14" s="62">
        <f t="shared" si="5"/>
        <v>74</v>
      </c>
      <c r="AJ14" s="63">
        <f t="shared" si="6"/>
        <v>83</v>
      </c>
      <c r="AK14" s="2"/>
      <c r="AL14" s="66" t="s">
        <v>29</v>
      </c>
      <c r="AM14" s="67">
        <f>COUNTIF(BF12:BF58,"&gt;=75")</f>
        <v>22</v>
      </c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>
        <f t="shared" si="7"/>
        <v>70</v>
      </c>
    </row>
    <row r="15" spans="1:58" ht="18" customHeight="1" thickBot="1">
      <c r="A15" s="134">
        <v>4</v>
      </c>
      <c r="B15" s="206" t="s">
        <v>105</v>
      </c>
      <c r="C15" s="207"/>
      <c r="D15" s="64"/>
      <c r="E15" s="65"/>
      <c r="F15" s="56">
        <v>6</v>
      </c>
      <c r="G15" s="56">
        <v>5</v>
      </c>
      <c r="H15" s="56">
        <v>5</v>
      </c>
      <c r="I15" s="56">
        <v>5</v>
      </c>
      <c r="J15" s="56">
        <v>8</v>
      </c>
      <c r="K15" s="56">
        <v>6</v>
      </c>
      <c r="L15" s="56">
        <v>7</v>
      </c>
      <c r="M15" s="56">
        <v>5</v>
      </c>
      <c r="N15" s="56">
        <v>4</v>
      </c>
      <c r="O15" s="56">
        <v>7</v>
      </c>
      <c r="P15" s="56">
        <f t="shared" si="8"/>
        <v>58</v>
      </c>
      <c r="Q15" s="59">
        <f t="shared" si="9"/>
        <v>58</v>
      </c>
      <c r="R15" s="60">
        <f t="shared" si="10"/>
        <v>17.399999999999999</v>
      </c>
      <c r="S15" s="61">
        <v>6</v>
      </c>
      <c r="T15" s="57">
        <v>6</v>
      </c>
      <c r="U15" s="57">
        <v>6</v>
      </c>
      <c r="V15" s="57">
        <v>6</v>
      </c>
      <c r="W15" s="57">
        <v>5</v>
      </c>
      <c r="X15" s="57">
        <v>6</v>
      </c>
      <c r="Y15" s="57">
        <v>6</v>
      </c>
      <c r="Z15" s="57">
        <v>5</v>
      </c>
      <c r="AA15" s="57">
        <v>10</v>
      </c>
      <c r="AB15" s="57">
        <v>6</v>
      </c>
      <c r="AC15" s="140">
        <f t="shared" si="0"/>
        <v>62</v>
      </c>
      <c r="AD15" s="129">
        <f t="shared" si="1"/>
        <v>62</v>
      </c>
      <c r="AE15" s="130">
        <f t="shared" si="2"/>
        <v>31</v>
      </c>
      <c r="AF15" s="139">
        <v>24</v>
      </c>
      <c r="AG15" s="59">
        <f t="shared" si="3"/>
        <v>80</v>
      </c>
      <c r="AH15" s="60">
        <f t="shared" si="4"/>
        <v>16</v>
      </c>
      <c r="AI15" s="62">
        <f t="shared" si="5"/>
        <v>64.400000000000006</v>
      </c>
      <c r="AJ15" s="63">
        <f t="shared" si="6"/>
        <v>77</v>
      </c>
      <c r="AK15" s="2"/>
      <c r="AL15" s="68" t="s">
        <v>30</v>
      </c>
      <c r="AM15" s="69">
        <f>AM14/AM10</f>
        <v>0.55000000000000004</v>
      </c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>
        <f t="shared" si="7"/>
        <v>80</v>
      </c>
    </row>
    <row r="16" spans="1:58" ht="18" customHeight="1" thickBot="1">
      <c r="A16" s="134">
        <v>5</v>
      </c>
      <c r="B16" s="206" t="s">
        <v>106</v>
      </c>
      <c r="C16" s="207"/>
      <c r="D16" s="64"/>
      <c r="E16" s="65"/>
      <c r="F16" s="56">
        <v>5</v>
      </c>
      <c r="G16" s="56">
        <v>6</v>
      </c>
      <c r="H16" s="56">
        <v>8</v>
      </c>
      <c r="I16" s="56">
        <v>8</v>
      </c>
      <c r="J16" s="56">
        <v>9</v>
      </c>
      <c r="K16" s="56">
        <v>10</v>
      </c>
      <c r="L16" s="56">
        <v>6</v>
      </c>
      <c r="M16" s="56">
        <v>6</v>
      </c>
      <c r="N16" s="56">
        <v>6</v>
      </c>
      <c r="O16" s="56">
        <v>6</v>
      </c>
      <c r="P16" s="56">
        <f t="shared" si="8"/>
        <v>70</v>
      </c>
      <c r="Q16" s="59">
        <f t="shared" si="9"/>
        <v>70</v>
      </c>
      <c r="R16" s="130">
        <f t="shared" si="10"/>
        <v>21</v>
      </c>
      <c r="S16" s="61">
        <v>5</v>
      </c>
      <c r="T16" s="57">
        <v>5</v>
      </c>
      <c r="U16" s="57">
        <v>6</v>
      </c>
      <c r="V16" s="57">
        <v>6</v>
      </c>
      <c r="W16" s="57">
        <v>6</v>
      </c>
      <c r="X16" s="57">
        <v>5</v>
      </c>
      <c r="Y16" s="57">
        <v>5</v>
      </c>
      <c r="Z16" s="57">
        <v>6</v>
      </c>
      <c r="AA16" s="57">
        <v>6</v>
      </c>
      <c r="AB16" s="57">
        <v>6</v>
      </c>
      <c r="AC16" s="38">
        <f t="shared" si="0"/>
        <v>56</v>
      </c>
      <c r="AD16" s="59">
        <f t="shared" si="1"/>
        <v>56</v>
      </c>
      <c r="AE16" s="60">
        <f t="shared" si="2"/>
        <v>28</v>
      </c>
      <c r="AF16" s="139">
        <v>26</v>
      </c>
      <c r="AG16" s="59">
        <f t="shared" si="3"/>
        <v>86.67</v>
      </c>
      <c r="AH16" s="60">
        <f t="shared" si="4"/>
        <v>17.329999999999998</v>
      </c>
      <c r="AI16" s="62">
        <f t="shared" si="5"/>
        <v>66.33</v>
      </c>
      <c r="AJ16" s="63">
        <f t="shared" si="6"/>
        <v>78</v>
      </c>
      <c r="AK16" s="2"/>
      <c r="AL16" s="68" t="s">
        <v>31</v>
      </c>
      <c r="AM16" s="70">
        <f>AM10-AM14</f>
        <v>18</v>
      </c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>
        <f t="shared" si="7"/>
        <v>86.666666666666671</v>
      </c>
    </row>
    <row r="17" spans="1:58" ht="18" customHeight="1" thickBot="1">
      <c r="A17" s="134">
        <v>6</v>
      </c>
      <c r="B17" s="206" t="s">
        <v>107</v>
      </c>
      <c r="C17" s="207"/>
      <c r="D17" s="64"/>
      <c r="E17" s="65"/>
      <c r="F17" s="56">
        <v>9</v>
      </c>
      <c r="G17" s="56">
        <v>9</v>
      </c>
      <c r="H17" s="56">
        <v>8</v>
      </c>
      <c r="I17" s="56">
        <v>6</v>
      </c>
      <c r="J17" s="56">
        <v>5</v>
      </c>
      <c r="K17" s="56">
        <v>7</v>
      </c>
      <c r="L17" s="56">
        <v>8</v>
      </c>
      <c r="M17" s="56">
        <v>8</v>
      </c>
      <c r="N17" s="56">
        <v>7</v>
      </c>
      <c r="O17" s="56">
        <v>7</v>
      </c>
      <c r="P17" s="56">
        <f t="shared" si="8"/>
        <v>74</v>
      </c>
      <c r="Q17" s="59">
        <f t="shared" si="9"/>
        <v>74</v>
      </c>
      <c r="R17" s="60">
        <f t="shared" si="10"/>
        <v>22.2</v>
      </c>
      <c r="S17" s="61">
        <v>9</v>
      </c>
      <c r="T17" s="57">
        <v>9</v>
      </c>
      <c r="U17" s="57">
        <v>10</v>
      </c>
      <c r="V17" s="57">
        <v>6</v>
      </c>
      <c r="W17" s="57">
        <v>8</v>
      </c>
      <c r="X17" s="57">
        <v>10</v>
      </c>
      <c r="Y17" s="57">
        <v>10</v>
      </c>
      <c r="Z17" s="57">
        <v>10</v>
      </c>
      <c r="AA17" s="57">
        <v>7</v>
      </c>
      <c r="AB17" s="57">
        <v>7</v>
      </c>
      <c r="AC17" s="38">
        <f t="shared" si="0"/>
        <v>86</v>
      </c>
      <c r="AD17" s="59">
        <f t="shared" si="1"/>
        <v>86</v>
      </c>
      <c r="AE17" s="60">
        <f t="shared" si="2"/>
        <v>43</v>
      </c>
      <c r="AF17" s="139">
        <v>25</v>
      </c>
      <c r="AG17" s="59">
        <f t="shared" si="3"/>
        <v>83.33</v>
      </c>
      <c r="AH17" s="60">
        <f t="shared" si="4"/>
        <v>16.670000000000002</v>
      </c>
      <c r="AI17" s="62">
        <f t="shared" si="5"/>
        <v>81.87</v>
      </c>
      <c r="AJ17" s="63">
        <f t="shared" si="6"/>
        <v>88</v>
      </c>
      <c r="AK17" s="2"/>
      <c r="AL17" s="71" t="s">
        <v>30</v>
      </c>
      <c r="AM17" s="72">
        <f>1-AM15</f>
        <v>0.44999999999999996</v>
      </c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>
        <f t="shared" si="7"/>
        <v>83.333333333333343</v>
      </c>
    </row>
    <row r="18" spans="1:58" ht="18" customHeight="1" thickBot="1">
      <c r="A18" s="134">
        <v>7</v>
      </c>
      <c r="B18" s="206" t="s">
        <v>108</v>
      </c>
      <c r="C18" s="207"/>
      <c r="D18" s="64">
        <v>0</v>
      </c>
      <c r="E18" s="65"/>
      <c r="F18" s="56">
        <v>5</v>
      </c>
      <c r="G18" s="56">
        <v>8</v>
      </c>
      <c r="H18" s="56">
        <v>8</v>
      </c>
      <c r="I18" s="56">
        <v>8</v>
      </c>
      <c r="J18" s="56">
        <v>6</v>
      </c>
      <c r="K18" s="56">
        <v>4</v>
      </c>
      <c r="L18" s="56">
        <v>4</v>
      </c>
      <c r="M18" s="56">
        <v>5</v>
      </c>
      <c r="N18" s="56">
        <v>4</v>
      </c>
      <c r="O18" s="56">
        <v>6</v>
      </c>
      <c r="P18" s="56">
        <f t="shared" si="8"/>
        <v>58</v>
      </c>
      <c r="Q18" s="59">
        <f t="shared" si="9"/>
        <v>58</v>
      </c>
      <c r="R18" s="60">
        <f t="shared" si="10"/>
        <v>17.399999999999999</v>
      </c>
      <c r="S18" s="61">
        <v>8</v>
      </c>
      <c r="T18" s="57">
        <v>8</v>
      </c>
      <c r="U18" s="57">
        <v>6</v>
      </c>
      <c r="V18" s="57">
        <v>9</v>
      </c>
      <c r="W18" s="57">
        <v>6</v>
      </c>
      <c r="X18" s="57">
        <v>9</v>
      </c>
      <c r="Y18" s="57">
        <v>6</v>
      </c>
      <c r="Z18" s="57">
        <v>8</v>
      </c>
      <c r="AA18" s="57">
        <v>9</v>
      </c>
      <c r="AB18" s="57">
        <v>9</v>
      </c>
      <c r="AC18" s="140">
        <f t="shared" si="0"/>
        <v>78</v>
      </c>
      <c r="AD18" s="129">
        <f t="shared" si="1"/>
        <v>78</v>
      </c>
      <c r="AE18" s="130">
        <f t="shared" si="2"/>
        <v>39</v>
      </c>
      <c r="AF18" s="139">
        <v>12</v>
      </c>
      <c r="AG18" s="59">
        <f t="shared" si="3"/>
        <v>40</v>
      </c>
      <c r="AH18" s="60">
        <f t="shared" si="4"/>
        <v>8</v>
      </c>
      <c r="AI18" s="62">
        <f t="shared" si="5"/>
        <v>64.400000000000006</v>
      </c>
      <c r="AJ18" s="63">
        <f t="shared" si="6"/>
        <v>77</v>
      </c>
      <c r="AK18" s="2"/>
      <c r="AL18" s="4"/>
      <c r="AM18" s="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>
        <f t="shared" si="7"/>
        <v>40</v>
      </c>
    </row>
    <row r="19" spans="1:58" ht="18" customHeight="1" thickBot="1">
      <c r="A19" s="134">
        <v>8</v>
      </c>
      <c r="B19" s="206" t="s">
        <v>109</v>
      </c>
      <c r="C19" s="207"/>
      <c r="D19" s="64"/>
      <c r="E19" s="65"/>
      <c r="F19" s="56">
        <v>5</v>
      </c>
      <c r="G19" s="56">
        <v>5</v>
      </c>
      <c r="H19" s="56">
        <v>5</v>
      </c>
      <c r="I19" s="56">
        <v>5</v>
      </c>
      <c r="J19" s="56">
        <v>6</v>
      </c>
      <c r="K19" s="56">
        <v>6</v>
      </c>
      <c r="L19" s="56">
        <v>5</v>
      </c>
      <c r="M19" s="56">
        <v>5</v>
      </c>
      <c r="N19" s="56">
        <v>5</v>
      </c>
      <c r="O19" s="56">
        <v>6</v>
      </c>
      <c r="P19" s="56">
        <f t="shared" si="8"/>
        <v>53</v>
      </c>
      <c r="Q19" s="59">
        <f t="shared" si="9"/>
        <v>53</v>
      </c>
      <c r="R19" s="60">
        <f t="shared" si="10"/>
        <v>15.9</v>
      </c>
      <c r="S19" s="61">
        <v>10</v>
      </c>
      <c r="T19" s="57">
        <v>10</v>
      </c>
      <c r="U19" s="57">
        <v>6</v>
      </c>
      <c r="V19" s="57">
        <v>6</v>
      </c>
      <c r="W19" s="57">
        <v>6</v>
      </c>
      <c r="X19" s="57">
        <v>6</v>
      </c>
      <c r="Y19" s="57">
        <v>10</v>
      </c>
      <c r="Z19" s="57">
        <v>6</v>
      </c>
      <c r="AA19" s="57">
        <v>7</v>
      </c>
      <c r="AB19" s="57">
        <v>10</v>
      </c>
      <c r="AC19" s="38">
        <f t="shared" si="0"/>
        <v>77</v>
      </c>
      <c r="AD19" s="59">
        <f t="shared" si="1"/>
        <v>77</v>
      </c>
      <c r="AE19" s="60">
        <f t="shared" si="2"/>
        <v>38.5</v>
      </c>
      <c r="AF19" s="139">
        <v>16</v>
      </c>
      <c r="AG19" s="59">
        <f t="shared" si="3"/>
        <v>53.33</v>
      </c>
      <c r="AH19" s="60">
        <f t="shared" si="4"/>
        <v>10.67</v>
      </c>
      <c r="AI19" s="62">
        <f t="shared" si="5"/>
        <v>65.069999999999993</v>
      </c>
      <c r="AJ19" s="63">
        <f t="shared" si="6"/>
        <v>78</v>
      </c>
      <c r="AK19" s="2"/>
      <c r="AL19" s="73" t="s">
        <v>32</v>
      </c>
      <c r="AM19" s="74" t="s">
        <v>33</v>
      </c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>
        <f t="shared" si="7"/>
        <v>53.333333333333336</v>
      </c>
    </row>
    <row r="20" spans="1:58" ht="18" customHeight="1" thickBot="1">
      <c r="A20" s="134">
        <v>9</v>
      </c>
      <c r="B20" s="206" t="s">
        <v>110</v>
      </c>
      <c r="C20" s="207"/>
      <c r="D20" s="64">
        <v>0</v>
      </c>
      <c r="E20" s="65"/>
      <c r="F20" s="56">
        <v>5</v>
      </c>
      <c r="G20" s="56">
        <v>6</v>
      </c>
      <c r="H20" s="56">
        <v>7</v>
      </c>
      <c r="I20" s="56">
        <v>6</v>
      </c>
      <c r="J20" s="56">
        <v>7</v>
      </c>
      <c r="K20" s="56">
        <v>8</v>
      </c>
      <c r="L20" s="56">
        <v>9</v>
      </c>
      <c r="M20" s="56">
        <v>5</v>
      </c>
      <c r="N20" s="56">
        <v>5</v>
      </c>
      <c r="O20" s="56">
        <v>9</v>
      </c>
      <c r="P20" s="56">
        <f t="shared" si="8"/>
        <v>67</v>
      </c>
      <c r="Q20" s="59">
        <f t="shared" si="9"/>
        <v>67</v>
      </c>
      <c r="R20" s="60">
        <f t="shared" si="10"/>
        <v>20.100000000000001</v>
      </c>
      <c r="S20" s="61">
        <v>10</v>
      </c>
      <c r="T20" s="57">
        <v>10</v>
      </c>
      <c r="U20" s="57">
        <v>10</v>
      </c>
      <c r="V20" s="57">
        <v>6</v>
      </c>
      <c r="W20" s="57">
        <v>7</v>
      </c>
      <c r="X20" s="57">
        <v>6</v>
      </c>
      <c r="Y20" s="57">
        <v>6</v>
      </c>
      <c r="Z20" s="57">
        <v>7</v>
      </c>
      <c r="AA20" s="57">
        <v>6</v>
      </c>
      <c r="AB20" s="57">
        <v>10</v>
      </c>
      <c r="AC20" s="38">
        <f t="shared" si="0"/>
        <v>78</v>
      </c>
      <c r="AD20" s="59">
        <f t="shared" si="1"/>
        <v>78</v>
      </c>
      <c r="AE20" s="60">
        <f t="shared" si="2"/>
        <v>39</v>
      </c>
      <c r="AF20" s="139">
        <v>23</v>
      </c>
      <c r="AG20" s="59">
        <f t="shared" si="3"/>
        <v>76.67</v>
      </c>
      <c r="AH20" s="60">
        <f t="shared" si="4"/>
        <v>15.33</v>
      </c>
      <c r="AI20" s="62">
        <f t="shared" si="5"/>
        <v>74.430000000000007</v>
      </c>
      <c r="AJ20" s="63">
        <f t="shared" si="6"/>
        <v>84</v>
      </c>
      <c r="AK20" s="2"/>
      <c r="AL20" s="66" t="s">
        <v>34</v>
      </c>
      <c r="AM20" s="75">
        <f>AVERAGE(AF12:AF52)</f>
        <v>22.574999999999999</v>
      </c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>
        <f t="shared" si="7"/>
        <v>76.666666666666671</v>
      </c>
    </row>
    <row r="21" spans="1:58" ht="18" customHeight="1" thickBot="1">
      <c r="A21" s="134">
        <v>10</v>
      </c>
      <c r="B21" s="206" t="s">
        <v>111</v>
      </c>
      <c r="C21" s="207"/>
      <c r="D21" s="64"/>
      <c r="E21" s="65"/>
      <c r="F21" s="56">
        <v>5</v>
      </c>
      <c r="G21" s="56">
        <v>6</v>
      </c>
      <c r="H21" s="56">
        <v>7</v>
      </c>
      <c r="I21" s="56">
        <v>6</v>
      </c>
      <c r="J21" s="56">
        <v>6</v>
      </c>
      <c r="K21" s="56">
        <v>6</v>
      </c>
      <c r="L21" s="56">
        <v>6</v>
      </c>
      <c r="M21" s="56">
        <v>5</v>
      </c>
      <c r="N21" s="56">
        <v>6</v>
      </c>
      <c r="O21" s="56">
        <v>9</v>
      </c>
      <c r="P21" s="56">
        <f t="shared" si="8"/>
        <v>62</v>
      </c>
      <c r="Q21" s="59">
        <f t="shared" si="9"/>
        <v>62</v>
      </c>
      <c r="R21" s="60">
        <f t="shared" si="10"/>
        <v>18.600000000000001</v>
      </c>
      <c r="S21" s="61">
        <v>10</v>
      </c>
      <c r="T21" s="57">
        <v>10</v>
      </c>
      <c r="U21" s="57">
        <v>10</v>
      </c>
      <c r="V21" s="57">
        <v>8</v>
      </c>
      <c r="W21" s="57">
        <v>8</v>
      </c>
      <c r="X21" s="57">
        <v>8</v>
      </c>
      <c r="Y21" s="57">
        <v>7</v>
      </c>
      <c r="Z21" s="57">
        <v>6</v>
      </c>
      <c r="AA21" s="57">
        <v>6</v>
      </c>
      <c r="AB21" s="57">
        <v>10</v>
      </c>
      <c r="AC21" s="38">
        <f t="shared" si="0"/>
        <v>83</v>
      </c>
      <c r="AD21" s="59">
        <f t="shared" si="1"/>
        <v>83</v>
      </c>
      <c r="AE21" s="60">
        <f t="shared" si="2"/>
        <v>41.5</v>
      </c>
      <c r="AF21" s="139">
        <v>20</v>
      </c>
      <c r="AG21" s="59">
        <f t="shared" si="3"/>
        <v>66.67</v>
      </c>
      <c r="AH21" s="60">
        <f t="shared" si="4"/>
        <v>13.33</v>
      </c>
      <c r="AI21" s="62">
        <f t="shared" si="5"/>
        <v>73.430000000000007</v>
      </c>
      <c r="AJ21" s="63">
        <f t="shared" si="6"/>
        <v>83</v>
      </c>
      <c r="AK21" s="2"/>
      <c r="AL21" s="68" t="s">
        <v>35</v>
      </c>
      <c r="AM21" s="70">
        <f>MEDIAN(AF12:AF52)</f>
        <v>24.5</v>
      </c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>
        <f t="shared" si="7"/>
        <v>66.666666666666657</v>
      </c>
    </row>
    <row r="22" spans="1:58" ht="18" customHeight="1" thickBot="1">
      <c r="A22" s="134">
        <v>11</v>
      </c>
      <c r="B22" s="206" t="s">
        <v>112</v>
      </c>
      <c r="C22" s="207"/>
      <c r="D22" s="64"/>
      <c r="E22" s="65"/>
      <c r="F22" s="56">
        <v>6</v>
      </c>
      <c r="G22" s="56">
        <v>8</v>
      </c>
      <c r="H22" s="56">
        <v>8</v>
      </c>
      <c r="I22" s="56">
        <v>8</v>
      </c>
      <c r="J22" s="56">
        <v>7</v>
      </c>
      <c r="K22" s="56">
        <v>8</v>
      </c>
      <c r="L22" s="56">
        <v>9</v>
      </c>
      <c r="M22" s="56">
        <v>5</v>
      </c>
      <c r="N22" s="56">
        <v>5</v>
      </c>
      <c r="O22" s="56">
        <v>9</v>
      </c>
      <c r="P22" s="56">
        <f t="shared" si="8"/>
        <v>73</v>
      </c>
      <c r="Q22" s="59">
        <f t="shared" si="9"/>
        <v>73</v>
      </c>
      <c r="R22" s="60">
        <f t="shared" si="10"/>
        <v>21.9</v>
      </c>
      <c r="S22" s="61">
        <v>10</v>
      </c>
      <c r="T22" s="57">
        <v>8</v>
      </c>
      <c r="U22" s="57">
        <v>10</v>
      </c>
      <c r="V22" s="57">
        <v>10</v>
      </c>
      <c r="W22" s="57">
        <v>8</v>
      </c>
      <c r="X22" s="57">
        <v>9</v>
      </c>
      <c r="Y22" s="57">
        <v>6</v>
      </c>
      <c r="Z22" s="57">
        <v>6</v>
      </c>
      <c r="AA22" s="57">
        <v>6</v>
      </c>
      <c r="AB22" s="57">
        <v>10</v>
      </c>
      <c r="AC22" s="38">
        <f t="shared" si="0"/>
        <v>83</v>
      </c>
      <c r="AD22" s="59">
        <f t="shared" si="1"/>
        <v>83</v>
      </c>
      <c r="AE22" s="60">
        <f t="shared" si="2"/>
        <v>41.5</v>
      </c>
      <c r="AF22" s="139">
        <v>20</v>
      </c>
      <c r="AG22" s="59">
        <f t="shared" si="3"/>
        <v>66.67</v>
      </c>
      <c r="AH22" s="60">
        <f t="shared" si="4"/>
        <v>13.33</v>
      </c>
      <c r="AI22" s="62">
        <f t="shared" si="5"/>
        <v>76.73</v>
      </c>
      <c r="AJ22" s="63">
        <f t="shared" si="6"/>
        <v>85</v>
      </c>
      <c r="AK22" s="2"/>
      <c r="AL22" s="68" t="s">
        <v>36</v>
      </c>
      <c r="AM22" s="76">
        <f>_xlfn.STDEV.S(AF12:AF52)</f>
        <v>4.787202491258097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12">
        <f t="shared" si="7"/>
        <v>66.666666666666657</v>
      </c>
    </row>
    <row r="23" spans="1:58" ht="18" customHeight="1" thickBot="1">
      <c r="A23" s="134">
        <v>12</v>
      </c>
      <c r="B23" s="206" t="s">
        <v>113</v>
      </c>
      <c r="C23" s="207"/>
      <c r="D23" s="64"/>
      <c r="E23" s="65"/>
      <c r="F23" s="56">
        <v>5</v>
      </c>
      <c r="G23" s="56">
        <v>6</v>
      </c>
      <c r="H23" s="56">
        <v>7</v>
      </c>
      <c r="I23" s="56">
        <v>6</v>
      </c>
      <c r="J23" s="56">
        <v>7</v>
      </c>
      <c r="K23" s="56">
        <v>6</v>
      </c>
      <c r="L23" s="56">
        <v>6</v>
      </c>
      <c r="M23" s="56">
        <v>5</v>
      </c>
      <c r="N23" s="56">
        <v>6</v>
      </c>
      <c r="O23" s="56">
        <v>5</v>
      </c>
      <c r="P23" s="56">
        <f t="shared" si="8"/>
        <v>59</v>
      </c>
      <c r="Q23" s="59">
        <f t="shared" si="9"/>
        <v>59</v>
      </c>
      <c r="R23" s="60">
        <f t="shared" si="10"/>
        <v>17.7</v>
      </c>
      <c r="S23" s="61">
        <v>8</v>
      </c>
      <c r="T23" s="57">
        <v>9</v>
      </c>
      <c r="U23" s="57">
        <v>8</v>
      </c>
      <c r="V23" s="57">
        <v>7</v>
      </c>
      <c r="W23" s="57">
        <v>6</v>
      </c>
      <c r="X23" s="57">
        <v>8</v>
      </c>
      <c r="Y23" s="57">
        <v>6</v>
      </c>
      <c r="Z23" s="57">
        <v>8</v>
      </c>
      <c r="AA23" s="57">
        <v>8</v>
      </c>
      <c r="AB23" s="57">
        <v>8</v>
      </c>
      <c r="AC23" s="38">
        <f t="shared" si="0"/>
        <v>76</v>
      </c>
      <c r="AD23" s="59">
        <f t="shared" si="1"/>
        <v>76</v>
      </c>
      <c r="AE23" s="60">
        <f t="shared" si="2"/>
        <v>38</v>
      </c>
      <c r="AF23" s="139">
        <v>16</v>
      </c>
      <c r="AG23" s="59">
        <f t="shared" si="3"/>
        <v>53.33</v>
      </c>
      <c r="AH23" s="60">
        <f t="shared" si="4"/>
        <v>10.67</v>
      </c>
      <c r="AI23" s="62">
        <f t="shared" si="5"/>
        <v>66.37</v>
      </c>
      <c r="AJ23" s="63">
        <f t="shared" si="6"/>
        <v>78</v>
      </c>
      <c r="AK23" s="2"/>
      <c r="AL23" s="71" t="s">
        <v>37</v>
      </c>
      <c r="AM23" s="72">
        <f>AM20/AM11</f>
        <v>0.75249999999999995</v>
      </c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2">
        <f t="shared" si="7"/>
        <v>53.333333333333336</v>
      </c>
    </row>
    <row r="24" spans="1:58" ht="18" customHeight="1" thickBot="1">
      <c r="A24" s="134">
        <v>13</v>
      </c>
      <c r="B24" s="206" t="s">
        <v>114</v>
      </c>
      <c r="C24" s="207"/>
      <c r="D24" s="64"/>
      <c r="E24" s="65"/>
      <c r="F24" s="56">
        <v>6</v>
      </c>
      <c r="G24" s="56">
        <v>7</v>
      </c>
      <c r="H24" s="56">
        <v>7</v>
      </c>
      <c r="I24" s="56">
        <v>6</v>
      </c>
      <c r="J24" s="56">
        <v>7</v>
      </c>
      <c r="K24" s="56">
        <v>8</v>
      </c>
      <c r="L24" s="56">
        <v>9</v>
      </c>
      <c r="M24" s="56">
        <v>5</v>
      </c>
      <c r="N24" s="56">
        <v>5</v>
      </c>
      <c r="O24" s="56">
        <v>9</v>
      </c>
      <c r="P24" s="56">
        <f t="shared" si="8"/>
        <v>69</v>
      </c>
      <c r="Q24" s="59">
        <f t="shared" si="9"/>
        <v>69</v>
      </c>
      <c r="R24" s="60">
        <f t="shared" si="10"/>
        <v>20.7</v>
      </c>
      <c r="S24" s="61">
        <v>6</v>
      </c>
      <c r="T24" s="57">
        <v>6</v>
      </c>
      <c r="U24" s="57">
        <v>6</v>
      </c>
      <c r="V24" s="57">
        <v>6</v>
      </c>
      <c r="W24" s="57">
        <v>6</v>
      </c>
      <c r="X24" s="57">
        <v>6</v>
      </c>
      <c r="Y24" s="57">
        <v>10</v>
      </c>
      <c r="Z24" s="57">
        <v>10</v>
      </c>
      <c r="AA24" s="57">
        <v>10</v>
      </c>
      <c r="AB24" s="57">
        <v>10</v>
      </c>
      <c r="AC24" s="38">
        <f t="shared" si="0"/>
        <v>76</v>
      </c>
      <c r="AD24" s="59">
        <f t="shared" si="1"/>
        <v>76</v>
      </c>
      <c r="AE24" s="60">
        <f t="shared" si="2"/>
        <v>38</v>
      </c>
      <c r="AF24" s="139">
        <v>27</v>
      </c>
      <c r="AG24" s="59">
        <f t="shared" si="3"/>
        <v>90</v>
      </c>
      <c r="AH24" s="60">
        <f t="shared" si="4"/>
        <v>18</v>
      </c>
      <c r="AI24" s="62">
        <f t="shared" si="5"/>
        <v>76.7</v>
      </c>
      <c r="AJ24" s="63">
        <f t="shared" si="6"/>
        <v>85</v>
      </c>
      <c r="AK24" s="2"/>
      <c r="AL24" s="4"/>
      <c r="AM24" s="2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2">
        <f t="shared" si="7"/>
        <v>90</v>
      </c>
    </row>
    <row r="25" spans="1:58" ht="18" customHeight="1" thickBot="1">
      <c r="A25" s="134">
        <v>14</v>
      </c>
      <c r="B25" s="206" t="s">
        <v>115</v>
      </c>
      <c r="C25" s="207"/>
      <c r="D25" s="64"/>
      <c r="E25" s="65"/>
      <c r="F25" s="56">
        <v>6</v>
      </c>
      <c r="G25" s="56">
        <v>6</v>
      </c>
      <c r="H25" s="56">
        <v>6</v>
      </c>
      <c r="I25" s="56">
        <v>6</v>
      </c>
      <c r="J25" s="56">
        <v>6</v>
      </c>
      <c r="K25" s="56">
        <v>6</v>
      </c>
      <c r="L25" s="56">
        <v>6</v>
      </c>
      <c r="M25" s="56">
        <v>5</v>
      </c>
      <c r="N25" s="56">
        <v>5</v>
      </c>
      <c r="O25" s="56">
        <v>6</v>
      </c>
      <c r="P25" s="56">
        <f t="shared" si="8"/>
        <v>58</v>
      </c>
      <c r="Q25" s="59">
        <f t="shared" si="9"/>
        <v>58</v>
      </c>
      <c r="R25" s="60">
        <f t="shared" si="10"/>
        <v>17.399999999999999</v>
      </c>
      <c r="S25" s="61">
        <v>6</v>
      </c>
      <c r="T25" s="57">
        <v>6</v>
      </c>
      <c r="U25" s="57">
        <v>8</v>
      </c>
      <c r="V25" s="57">
        <v>6</v>
      </c>
      <c r="W25" s="57">
        <v>8</v>
      </c>
      <c r="X25" s="57">
        <v>7</v>
      </c>
      <c r="Y25" s="57">
        <v>9</v>
      </c>
      <c r="Z25" s="57">
        <v>7</v>
      </c>
      <c r="AA25" s="57">
        <v>7</v>
      </c>
      <c r="AB25" s="57">
        <v>10</v>
      </c>
      <c r="AC25" s="38">
        <f t="shared" si="0"/>
        <v>74</v>
      </c>
      <c r="AD25" s="59">
        <f t="shared" si="1"/>
        <v>74</v>
      </c>
      <c r="AE25" s="60">
        <f t="shared" si="2"/>
        <v>37</v>
      </c>
      <c r="AF25" s="139">
        <v>15</v>
      </c>
      <c r="AG25" s="59">
        <f t="shared" si="3"/>
        <v>50</v>
      </c>
      <c r="AH25" s="60">
        <f t="shared" si="4"/>
        <v>10</v>
      </c>
      <c r="AI25" s="62">
        <f t="shared" si="5"/>
        <v>64.400000000000006</v>
      </c>
      <c r="AJ25" s="63">
        <f t="shared" si="6"/>
        <v>77</v>
      </c>
      <c r="AK25" s="2"/>
      <c r="AL25" s="73" t="s">
        <v>38</v>
      </c>
      <c r="AM25" s="77" t="s">
        <v>33</v>
      </c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2">
        <f t="shared" si="7"/>
        <v>50</v>
      </c>
    </row>
    <row r="26" spans="1:58" ht="18" customHeight="1" thickBot="1">
      <c r="A26" s="134">
        <v>15</v>
      </c>
      <c r="B26" s="206" t="s">
        <v>116</v>
      </c>
      <c r="C26" s="207"/>
      <c r="D26" s="64"/>
      <c r="E26" s="65"/>
      <c r="F26" s="56">
        <v>5</v>
      </c>
      <c r="G26" s="56">
        <v>5</v>
      </c>
      <c r="H26" s="56">
        <v>5</v>
      </c>
      <c r="I26" s="56">
        <v>6</v>
      </c>
      <c r="J26" s="56">
        <v>7</v>
      </c>
      <c r="K26" s="56">
        <v>8</v>
      </c>
      <c r="L26" s="56">
        <v>9</v>
      </c>
      <c r="M26" s="56">
        <v>5</v>
      </c>
      <c r="N26" s="56">
        <v>5</v>
      </c>
      <c r="O26" s="56">
        <v>9</v>
      </c>
      <c r="P26" s="56">
        <f t="shared" si="8"/>
        <v>64</v>
      </c>
      <c r="Q26" s="59">
        <f t="shared" si="9"/>
        <v>64</v>
      </c>
      <c r="R26" s="60">
        <f t="shared" si="10"/>
        <v>19.2</v>
      </c>
      <c r="S26" s="61">
        <v>6</v>
      </c>
      <c r="T26" s="57">
        <v>6</v>
      </c>
      <c r="U26" s="57">
        <v>6</v>
      </c>
      <c r="V26" s="57">
        <v>7</v>
      </c>
      <c r="W26" s="57">
        <v>6</v>
      </c>
      <c r="X26" s="57">
        <v>6</v>
      </c>
      <c r="Y26" s="57">
        <v>7</v>
      </c>
      <c r="Z26" s="57">
        <v>6</v>
      </c>
      <c r="AA26" s="57">
        <v>6</v>
      </c>
      <c r="AB26" s="57">
        <v>6</v>
      </c>
      <c r="AC26" s="38">
        <f t="shared" si="0"/>
        <v>62</v>
      </c>
      <c r="AD26" s="59">
        <f t="shared" si="1"/>
        <v>62</v>
      </c>
      <c r="AE26" s="60">
        <f t="shared" si="2"/>
        <v>31</v>
      </c>
      <c r="AF26" s="139">
        <v>26</v>
      </c>
      <c r="AG26" s="59">
        <f t="shared" si="3"/>
        <v>86.67</v>
      </c>
      <c r="AH26" s="60">
        <f t="shared" si="4"/>
        <v>17.329999999999998</v>
      </c>
      <c r="AI26" s="62">
        <f t="shared" si="5"/>
        <v>67.53</v>
      </c>
      <c r="AJ26" s="63">
        <f t="shared" si="6"/>
        <v>79</v>
      </c>
      <c r="AK26" s="2"/>
      <c r="AL26" s="66" t="s">
        <v>39</v>
      </c>
      <c r="AM26" s="78">
        <f>MAX(AF12:AF52)</f>
        <v>29</v>
      </c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2"/>
      <c r="BF26" s="12">
        <f t="shared" si="7"/>
        <v>86.666666666666671</v>
      </c>
    </row>
    <row r="27" spans="1:58" ht="18" customHeight="1" thickBot="1">
      <c r="A27" s="134">
        <v>16</v>
      </c>
      <c r="B27" s="206" t="s">
        <v>117</v>
      </c>
      <c r="C27" s="207"/>
      <c r="D27" s="64"/>
      <c r="E27" s="65"/>
      <c r="F27" s="56">
        <v>5</v>
      </c>
      <c r="G27" s="56">
        <v>5</v>
      </c>
      <c r="H27" s="56">
        <v>5</v>
      </c>
      <c r="I27" s="56">
        <v>6</v>
      </c>
      <c r="J27" s="56">
        <v>6</v>
      </c>
      <c r="K27" s="56">
        <v>6</v>
      </c>
      <c r="L27" s="56">
        <v>6</v>
      </c>
      <c r="M27" s="56">
        <v>5</v>
      </c>
      <c r="N27" s="56">
        <v>6</v>
      </c>
      <c r="O27" s="56">
        <v>6</v>
      </c>
      <c r="P27" s="56">
        <f t="shared" si="8"/>
        <v>56</v>
      </c>
      <c r="Q27" s="59">
        <f t="shared" si="9"/>
        <v>56</v>
      </c>
      <c r="R27" s="60">
        <f t="shared" si="10"/>
        <v>16.8</v>
      </c>
      <c r="S27" s="61">
        <v>6</v>
      </c>
      <c r="T27" s="57">
        <v>6</v>
      </c>
      <c r="U27" s="57">
        <v>10</v>
      </c>
      <c r="V27" s="57">
        <v>6</v>
      </c>
      <c r="W27" s="57">
        <v>6</v>
      </c>
      <c r="X27" s="57">
        <v>6</v>
      </c>
      <c r="Y27" s="57">
        <v>6</v>
      </c>
      <c r="Z27" s="57">
        <v>6</v>
      </c>
      <c r="AA27" s="57">
        <v>10</v>
      </c>
      <c r="AB27" s="57">
        <v>10</v>
      </c>
      <c r="AC27" s="38">
        <f t="shared" si="0"/>
        <v>72</v>
      </c>
      <c r="AD27" s="59">
        <f t="shared" si="1"/>
        <v>72</v>
      </c>
      <c r="AE27" s="60">
        <f t="shared" si="2"/>
        <v>36</v>
      </c>
      <c r="AF27" s="139">
        <v>15</v>
      </c>
      <c r="AG27" s="59">
        <f t="shared" si="3"/>
        <v>50</v>
      </c>
      <c r="AH27" s="60">
        <f t="shared" si="4"/>
        <v>10</v>
      </c>
      <c r="AI27" s="62">
        <f t="shared" si="5"/>
        <v>62.8</v>
      </c>
      <c r="AJ27" s="63">
        <f t="shared" si="6"/>
        <v>76</v>
      </c>
      <c r="AK27" s="2"/>
      <c r="AL27" s="68" t="s">
        <v>40</v>
      </c>
      <c r="AM27" s="79">
        <f>MIN(AF12:AF76)</f>
        <v>12</v>
      </c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2"/>
      <c r="BF27" s="12">
        <f t="shared" si="7"/>
        <v>50</v>
      </c>
    </row>
    <row r="28" spans="1:58" ht="18" customHeight="1" thickBot="1">
      <c r="A28" s="134">
        <v>17</v>
      </c>
      <c r="B28" s="206" t="s">
        <v>118</v>
      </c>
      <c r="C28" s="207"/>
      <c r="D28" s="64"/>
      <c r="E28" s="65"/>
      <c r="F28" s="56">
        <v>6</v>
      </c>
      <c r="G28" s="56">
        <v>6</v>
      </c>
      <c r="H28" s="56">
        <v>6</v>
      </c>
      <c r="I28" s="56">
        <v>6</v>
      </c>
      <c r="J28" s="56">
        <v>7</v>
      </c>
      <c r="K28" s="56">
        <v>8</v>
      </c>
      <c r="L28" s="56">
        <v>9</v>
      </c>
      <c r="M28" s="56">
        <v>5</v>
      </c>
      <c r="N28" s="56">
        <v>5</v>
      </c>
      <c r="O28" s="56">
        <v>9</v>
      </c>
      <c r="P28" s="56">
        <f t="shared" si="8"/>
        <v>67</v>
      </c>
      <c r="Q28" s="59">
        <f t="shared" si="9"/>
        <v>67</v>
      </c>
      <c r="R28" s="60">
        <f t="shared" si="10"/>
        <v>20.100000000000001</v>
      </c>
      <c r="S28" s="61">
        <v>10</v>
      </c>
      <c r="T28" s="57">
        <v>8</v>
      </c>
      <c r="U28" s="57">
        <v>10</v>
      </c>
      <c r="V28" s="57">
        <v>8</v>
      </c>
      <c r="W28" s="57">
        <v>10</v>
      </c>
      <c r="X28" s="57">
        <v>10</v>
      </c>
      <c r="Y28" s="57">
        <v>6</v>
      </c>
      <c r="Z28" s="57">
        <v>10</v>
      </c>
      <c r="AA28" s="57">
        <v>6</v>
      </c>
      <c r="AB28" s="57">
        <v>10</v>
      </c>
      <c r="AC28" s="38">
        <f t="shared" si="0"/>
        <v>88</v>
      </c>
      <c r="AD28" s="59">
        <f t="shared" si="1"/>
        <v>88</v>
      </c>
      <c r="AE28" s="60">
        <f t="shared" si="2"/>
        <v>44</v>
      </c>
      <c r="AF28" s="139">
        <v>15</v>
      </c>
      <c r="AG28" s="59">
        <f t="shared" si="3"/>
        <v>50</v>
      </c>
      <c r="AH28" s="60">
        <f t="shared" si="4"/>
        <v>10</v>
      </c>
      <c r="AI28" s="62">
        <f t="shared" si="5"/>
        <v>74.099999999999994</v>
      </c>
      <c r="AJ28" s="63">
        <f t="shared" si="6"/>
        <v>83</v>
      </c>
      <c r="AK28" s="2"/>
      <c r="AL28" s="71" t="s">
        <v>41</v>
      </c>
      <c r="AM28" s="80">
        <f>SUM(AF12:AF52)</f>
        <v>903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2"/>
      <c r="BF28" s="12">
        <f t="shared" si="7"/>
        <v>50</v>
      </c>
    </row>
    <row r="29" spans="1:58" ht="18" customHeight="1" thickBot="1">
      <c r="A29" s="134">
        <v>18</v>
      </c>
      <c r="B29" s="206" t="s">
        <v>119</v>
      </c>
      <c r="C29" s="207"/>
      <c r="D29" s="64"/>
      <c r="E29" s="65"/>
      <c r="F29" s="56">
        <v>9</v>
      </c>
      <c r="G29" s="56">
        <v>8</v>
      </c>
      <c r="H29" s="56">
        <v>8</v>
      </c>
      <c r="I29" s="56">
        <v>8</v>
      </c>
      <c r="J29" s="56">
        <v>8</v>
      </c>
      <c r="K29" s="56">
        <v>8</v>
      </c>
      <c r="L29" s="56">
        <v>9</v>
      </c>
      <c r="M29" s="56">
        <v>5</v>
      </c>
      <c r="N29" s="56">
        <v>5</v>
      </c>
      <c r="O29" s="56">
        <v>9</v>
      </c>
      <c r="P29" s="56">
        <f t="shared" si="8"/>
        <v>77</v>
      </c>
      <c r="Q29" s="59">
        <f t="shared" si="9"/>
        <v>77</v>
      </c>
      <c r="R29" s="60">
        <f t="shared" si="10"/>
        <v>23.1</v>
      </c>
      <c r="S29" s="61">
        <v>6</v>
      </c>
      <c r="T29" s="57">
        <v>6</v>
      </c>
      <c r="U29" s="57">
        <v>6</v>
      </c>
      <c r="V29" s="57">
        <v>10</v>
      </c>
      <c r="W29" s="57">
        <v>10</v>
      </c>
      <c r="X29" s="57">
        <v>6</v>
      </c>
      <c r="Y29" s="57">
        <v>6</v>
      </c>
      <c r="Z29" s="57">
        <v>6</v>
      </c>
      <c r="AA29" s="57">
        <v>6</v>
      </c>
      <c r="AB29" s="57">
        <v>6</v>
      </c>
      <c r="AC29" s="38">
        <f t="shared" si="0"/>
        <v>68</v>
      </c>
      <c r="AD29" s="59">
        <f t="shared" si="1"/>
        <v>68</v>
      </c>
      <c r="AE29" s="60">
        <f t="shared" si="2"/>
        <v>34</v>
      </c>
      <c r="AF29" s="139">
        <v>27</v>
      </c>
      <c r="AG29" s="59">
        <f t="shared" si="3"/>
        <v>90</v>
      </c>
      <c r="AH29" s="60">
        <f t="shared" si="4"/>
        <v>18</v>
      </c>
      <c r="AI29" s="62">
        <f t="shared" si="5"/>
        <v>75.099999999999994</v>
      </c>
      <c r="AJ29" s="63">
        <f t="shared" si="6"/>
        <v>84</v>
      </c>
      <c r="AK29" s="2"/>
      <c r="AL29" s="4"/>
      <c r="AM29" s="2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2"/>
      <c r="BF29" s="12">
        <f t="shared" si="7"/>
        <v>90</v>
      </c>
    </row>
    <row r="30" spans="1:58" ht="18" customHeight="1" thickBot="1">
      <c r="A30" s="134">
        <v>19</v>
      </c>
      <c r="B30" s="206" t="s">
        <v>120</v>
      </c>
      <c r="C30" s="207"/>
      <c r="D30" s="64"/>
      <c r="E30" s="65"/>
      <c r="F30" s="56">
        <v>5</v>
      </c>
      <c r="G30" s="56">
        <v>6</v>
      </c>
      <c r="H30" s="56">
        <v>6</v>
      </c>
      <c r="I30" s="56">
        <v>6</v>
      </c>
      <c r="J30" s="56">
        <v>7</v>
      </c>
      <c r="K30" s="56">
        <v>6</v>
      </c>
      <c r="L30" s="56">
        <v>6</v>
      </c>
      <c r="M30" s="56">
        <v>5</v>
      </c>
      <c r="N30" s="56">
        <v>5</v>
      </c>
      <c r="O30" s="56">
        <v>9</v>
      </c>
      <c r="P30" s="56">
        <f t="shared" si="8"/>
        <v>61</v>
      </c>
      <c r="Q30" s="59">
        <f t="shared" si="9"/>
        <v>61</v>
      </c>
      <c r="R30" s="60">
        <f t="shared" si="10"/>
        <v>18.3</v>
      </c>
      <c r="S30" s="61">
        <v>6</v>
      </c>
      <c r="T30" s="57">
        <v>8</v>
      </c>
      <c r="U30" s="57">
        <v>6</v>
      </c>
      <c r="V30" s="57">
        <v>6</v>
      </c>
      <c r="W30" s="57">
        <v>7</v>
      </c>
      <c r="X30" s="57">
        <v>7</v>
      </c>
      <c r="Y30" s="57">
        <v>5</v>
      </c>
      <c r="Z30" s="57">
        <v>7</v>
      </c>
      <c r="AA30" s="57">
        <v>10</v>
      </c>
      <c r="AB30" s="57">
        <v>10</v>
      </c>
      <c r="AC30" s="38">
        <f t="shared" si="0"/>
        <v>72</v>
      </c>
      <c r="AD30" s="59">
        <f t="shared" si="1"/>
        <v>72</v>
      </c>
      <c r="AE30" s="60">
        <f t="shared" si="2"/>
        <v>36</v>
      </c>
      <c r="AF30" s="139">
        <v>21</v>
      </c>
      <c r="AG30" s="59">
        <f t="shared" si="3"/>
        <v>70</v>
      </c>
      <c r="AH30" s="60">
        <f t="shared" si="4"/>
        <v>14</v>
      </c>
      <c r="AI30" s="62">
        <f t="shared" si="5"/>
        <v>68.3</v>
      </c>
      <c r="AJ30" s="63">
        <f t="shared" si="6"/>
        <v>80</v>
      </c>
      <c r="AK30" s="2"/>
      <c r="AL30" s="16"/>
      <c r="AM30" s="2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2"/>
      <c r="BF30" s="12">
        <f t="shared" si="7"/>
        <v>70</v>
      </c>
    </row>
    <row r="31" spans="1:58" ht="18" customHeight="1" thickBot="1">
      <c r="A31" s="134">
        <v>20</v>
      </c>
      <c r="B31" s="246" t="s">
        <v>121</v>
      </c>
      <c r="C31" s="247"/>
      <c r="D31" s="64"/>
      <c r="E31" s="65"/>
      <c r="F31" s="56">
        <v>6</v>
      </c>
      <c r="G31" s="56">
        <v>6</v>
      </c>
      <c r="H31" s="56">
        <v>6</v>
      </c>
      <c r="I31" s="56">
        <v>6</v>
      </c>
      <c r="J31" s="56">
        <v>5</v>
      </c>
      <c r="K31" s="56">
        <v>6</v>
      </c>
      <c r="L31" s="56">
        <v>5</v>
      </c>
      <c r="M31" s="56">
        <v>5</v>
      </c>
      <c r="N31" s="56">
        <v>4</v>
      </c>
      <c r="O31" s="56">
        <v>9</v>
      </c>
      <c r="P31" s="56">
        <f t="shared" si="8"/>
        <v>58</v>
      </c>
      <c r="Q31" s="59">
        <f t="shared" si="9"/>
        <v>58</v>
      </c>
      <c r="R31" s="60">
        <f t="shared" si="10"/>
        <v>17.399999999999999</v>
      </c>
      <c r="S31" s="61">
        <v>10</v>
      </c>
      <c r="T31" s="57">
        <v>6</v>
      </c>
      <c r="U31" s="57">
        <v>6</v>
      </c>
      <c r="V31" s="57">
        <v>6</v>
      </c>
      <c r="W31" s="57">
        <v>6</v>
      </c>
      <c r="X31" s="57">
        <v>8</v>
      </c>
      <c r="Y31" s="57">
        <v>8</v>
      </c>
      <c r="Z31" s="57">
        <v>8</v>
      </c>
      <c r="AA31" s="57">
        <v>8</v>
      </c>
      <c r="AB31" s="57">
        <v>6</v>
      </c>
      <c r="AC31" s="38">
        <f t="shared" si="0"/>
        <v>72</v>
      </c>
      <c r="AD31" s="59">
        <f t="shared" si="1"/>
        <v>72</v>
      </c>
      <c r="AE31" s="60">
        <f t="shared" si="2"/>
        <v>36</v>
      </c>
      <c r="AF31" s="139">
        <v>15</v>
      </c>
      <c r="AG31" s="59">
        <f t="shared" si="3"/>
        <v>50</v>
      </c>
      <c r="AH31" s="60">
        <f t="shared" si="4"/>
        <v>10</v>
      </c>
      <c r="AI31" s="62">
        <f t="shared" si="5"/>
        <v>63.4</v>
      </c>
      <c r="AJ31" s="63">
        <f t="shared" si="6"/>
        <v>77</v>
      </c>
      <c r="AK31" s="2"/>
      <c r="AL31" s="4"/>
      <c r="AM31" s="2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2"/>
      <c r="BF31" s="12">
        <f t="shared" si="7"/>
        <v>50</v>
      </c>
    </row>
    <row r="32" spans="1:58" ht="18" customHeight="1" thickBot="1">
      <c r="A32" s="17"/>
      <c r="B32" s="123" t="s">
        <v>11</v>
      </c>
      <c r="C32" s="85"/>
      <c r="D32" s="85"/>
      <c r="E32" s="85"/>
      <c r="F32" s="81"/>
      <c r="G32" s="82"/>
      <c r="H32" s="82"/>
      <c r="I32" s="82"/>
      <c r="J32" s="82"/>
      <c r="K32" s="82"/>
      <c r="L32" s="82"/>
      <c r="M32" s="82"/>
      <c r="N32" s="82"/>
      <c r="O32" s="83"/>
      <c r="P32" s="84"/>
      <c r="Q32" s="84"/>
      <c r="R32" s="137"/>
      <c r="S32" s="137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52"/>
      <c r="AJ32" s="53"/>
    </row>
    <row r="33" spans="1:58" ht="18" customHeight="1" thickBot="1">
      <c r="A33" s="133">
        <v>1</v>
      </c>
      <c r="B33" s="248" t="s">
        <v>122</v>
      </c>
      <c r="C33" s="249"/>
      <c r="D33" s="14"/>
      <c r="E33" s="15"/>
      <c r="F33" s="56">
        <v>9</v>
      </c>
      <c r="G33" s="56">
        <v>9</v>
      </c>
      <c r="H33" s="57">
        <v>8</v>
      </c>
      <c r="I33" s="57">
        <v>8</v>
      </c>
      <c r="J33" s="57">
        <v>7</v>
      </c>
      <c r="K33" s="56">
        <v>6</v>
      </c>
      <c r="L33" s="56">
        <v>8</v>
      </c>
      <c r="M33" s="57">
        <v>9</v>
      </c>
      <c r="N33" s="57">
        <v>9</v>
      </c>
      <c r="O33" s="57">
        <v>7</v>
      </c>
      <c r="P33" s="58">
        <f t="shared" ref="P33:P52" si="11">IF(COUNT($F33:$O33)=0,"",SUM($F33:$O33))</f>
        <v>80</v>
      </c>
      <c r="Q33" s="59">
        <f t="shared" ref="Q33:Q52" si="12">IF(ISERROR(IF($P33="","",ROUND(($P33/$P$10)*$Q$10,2))),"",IF($P33="","",ROUND(($P33/$P$10)*$Q$10,2)))</f>
        <v>80</v>
      </c>
      <c r="R33" s="60">
        <f t="shared" ref="R33:R52" si="13">IF($Q33="","",ROUND($Q33*$R$10,2))</f>
        <v>24</v>
      </c>
      <c r="S33" s="61">
        <v>8</v>
      </c>
      <c r="T33" s="57">
        <v>8</v>
      </c>
      <c r="U33" s="57">
        <v>9</v>
      </c>
      <c r="V33" s="57">
        <v>9</v>
      </c>
      <c r="W33" s="57">
        <v>8</v>
      </c>
      <c r="X33" s="57">
        <v>6</v>
      </c>
      <c r="Y33" s="57">
        <v>6</v>
      </c>
      <c r="Z33" s="57">
        <v>6</v>
      </c>
      <c r="AA33" s="57">
        <v>6</v>
      </c>
      <c r="AB33" s="57">
        <v>6</v>
      </c>
      <c r="AC33" s="38">
        <f t="shared" ref="AC33:AC52" si="14">IF(COUNT($S33:$AB33)=0,"",SUM($S33:$AB33))</f>
        <v>72</v>
      </c>
      <c r="AD33" s="59">
        <f t="shared" ref="AD33:AD52" si="15">IF(ISERROR(IF($AC33="","",ROUND(($AC33/$AC$10)*$AD$10,2))),"",IF($AC33="","",ROUND(($AC33/$AC$10)*$AD$10,2)))</f>
        <v>72</v>
      </c>
      <c r="AE33" s="60">
        <f t="shared" ref="AE33:AE52" si="16">IF($AD33="","",ROUND($AD33*$AE$10,2))</f>
        <v>36</v>
      </c>
      <c r="AF33" s="139">
        <v>20</v>
      </c>
      <c r="AG33" s="59">
        <f t="shared" ref="AG33:AG52" si="17">IF(ISERROR(IF($AF33="","",ROUND(($AF33/$AF$10)*$AG$10,2))),"",IF($AF33="","",ROUND(($AF33/$AF$10)*$AG$10,2)))</f>
        <v>66.67</v>
      </c>
      <c r="AH33" s="60">
        <f t="shared" ref="AH33:AH52" si="18">IF($AG33="","",ROUND($AG33*$AH$10,2))</f>
        <v>13.33</v>
      </c>
      <c r="AI33" s="62">
        <f t="shared" ref="AI33:AI52" si="19">IF(ISERROR(IF($AF33="","",ROUND(SUM($R33,$AE33,$AH33),2))),"",IF($AF33="","",ROUND(SUM($R33,$AE33,$AH33),2)))</f>
        <v>73.33</v>
      </c>
      <c r="AJ33" s="63">
        <f t="shared" ref="AJ33:AJ52" si="20">IF(ISERROR(IF($AF33="","",VLOOKUP(AI33,TRANSMUTATION_TABLE,4,TRUE))),"",IF($AF33="","",VLOOKUP(AI33,TRANSMUTATION_TABLE,4,TRUE)))</f>
        <v>83</v>
      </c>
    </row>
    <row r="34" spans="1:58" ht="18" customHeight="1" thickBot="1">
      <c r="A34" s="134">
        <v>2</v>
      </c>
      <c r="B34" s="250" t="s">
        <v>123</v>
      </c>
      <c r="C34" s="251"/>
      <c r="D34" s="64"/>
      <c r="E34" s="65"/>
      <c r="F34" s="56">
        <v>9</v>
      </c>
      <c r="G34" s="56">
        <v>6</v>
      </c>
      <c r="H34" s="57">
        <v>6</v>
      </c>
      <c r="I34" s="57">
        <v>6</v>
      </c>
      <c r="J34" s="57">
        <v>6</v>
      </c>
      <c r="K34" s="56">
        <v>8</v>
      </c>
      <c r="L34" s="56">
        <v>9</v>
      </c>
      <c r="M34" s="57">
        <v>9</v>
      </c>
      <c r="N34" s="57">
        <v>10</v>
      </c>
      <c r="O34" s="57">
        <v>10</v>
      </c>
      <c r="P34" s="58">
        <f t="shared" si="11"/>
        <v>79</v>
      </c>
      <c r="Q34" s="59">
        <f t="shared" si="12"/>
        <v>79</v>
      </c>
      <c r="R34" s="60">
        <f t="shared" si="13"/>
        <v>23.7</v>
      </c>
      <c r="S34" s="61">
        <v>8</v>
      </c>
      <c r="T34" s="57">
        <v>6</v>
      </c>
      <c r="U34" s="57">
        <v>10</v>
      </c>
      <c r="V34" s="57">
        <v>6</v>
      </c>
      <c r="W34" s="57">
        <v>6</v>
      </c>
      <c r="X34" s="57">
        <v>6</v>
      </c>
      <c r="Y34" s="57">
        <v>7</v>
      </c>
      <c r="Z34" s="57">
        <v>6</v>
      </c>
      <c r="AA34" s="57">
        <v>5</v>
      </c>
      <c r="AB34" s="57">
        <v>5</v>
      </c>
      <c r="AC34" s="38">
        <f t="shared" si="14"/>
        <v>65</v>
      </c>
      <c r="AD34" s="59">
        <f t="shared" si="15"/>
        <v>65</v>
      </c>
      <c r="AE34" s="60">
        <f t="shared" si="16"/>
        <v>32.5</v>
      </c>
      <c r="AF34" s="139">
        <v>29</v>
      </c>
      <c r="AG34" s="59">
        <f t="shared" si="17"/>
        <v>96.67</v>
      </c>
      <c r="AH34" s="60">
        <f t="shared" si="18"/>
        <v>19.329999999999998</v>
      </c>
      <c r="AI34" s="62">
        <f t="shared" si="19"/>
        <v>75.53</v>
      </c>
      <c r="AJ34" s="63">
        <f t="shared" si="20"/>
        <v>84</v>
      </c>
      <c r="AK34" s="2"/>
      <c r="AL34" s="4"/>
      <c r="AM34" s="2"/>
      <c r="AN34" s="3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12" t="e">
        <f>(#REF!/$AF$10)*100</f>
        <v>#REF!</v>
      </c>
    </row>
    <row r="35" spans="1:58" ht="18" customHeight="1" thickBot="1">
      <c r="A35" s="134">
        <v>3</v>
      </c>
      <c r="B35" s="250" t="s">
        <v>124</v>
      </c>
      <c r="C35" s="251"/>
      <c r="D35" s="64"/>
      <c r="E35" s="65"/>
      <c r="F35" s="56">
        <v>6</v>
      </c>
      <c r="G35" s="56">
        <v>6</v>
      </c>
      <c r="H35" s="57">
        <v>6</v>
      </c>
      <c r="I35" s="57">
        <v>6</v>
      </c>
      <c r="J35" s="57">
        <v>8</v>
      </c>
      <c r="K35" s="56">
        <v>8</v>
      </c>
      <c r="L35" s="56">
        <v>8</v>
      </c>
      <c r="M35" s="57">
        <v>8</v>
      </c>
      <c r="N35" s="57">
        <v>9</v>
      </c>
      <c r="O35" s="57">
        <v>10</v>
      </c>
      <c r="P35" s="58">
        <f t="shared" si="11"/>
        <v>75</v>
      </c>
      <c r="Q35" s="59">
        <f t="shared" si="12"/>
        <v>75</v>
      </c>
      <c r="R35" s="60">
        <f t="shared" si="13"/>
        <v>22.5</v>
      </c>
      <c r="S35" s="61">
        <v>6</v>
      </c>
      <c r="T35" s="57">
        <v>6</v>
      </c>
      <c r="U35" s="57">
        <v>6</v>
      </c>
      <c r="V35" s="57">
        <v>5</v>
      </c>
      <c r="W35" s="57">
        <v>8</v>
      </c>
      <c r="X35" s="57">
        <v>9</v>
      </c>
      <c r="Y35" s="57">
        <v>7</v>
      </c>
      <c r="Z35" s="57">
        <v>6</v>
      </c>
      <c r="AA35" s="57">
        <v>8</v>
      </c>
      <c r="AB35" s="57">
        <v>10</v>
      </c>
      <c r="AC35" s="38">
        <f t="shared" si="14"/>
        <v>71</v>
      </c>
      <c r="AD35" s="59">
        <f t="shared" si="15"/>
        <v>71</v>
      </c>
      <c r="AE35" s="60">
        <f t="shared" si="16"/>
        <v>35.5</v>
      </c>
      <c r="AF35" s="139">
        <v>23</v>
      </c>
      <c r="AG35" s="59">
        <f t="shared" si="17"/>
        <v>76.67</v>
      </c>
      <c r="AH35" s="60">
        <f t="shared" si="18"/>
        <v>15.33</v>
      </c>
      <c r="AI35" s="62">
        <f t="shared" si="19"/>
        <v>73.33</v>
      </c>
      <c r="AJ35" s="63">
        <f t="shared" si="20"/>
        <v>83</v>
      </c>
      <c r="AK35" s="2"/>
      <c r="AL35" s="4"/>
      <c r="AM35" s="2"/>
      <c r="AN35" s="3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12" t="e">
        <f>(#REF!/$AF$10)*100</f>
        <v>#REF!</v>
      </c>
    </row>
    <row r="36" spans="1:58" ht="18" customHeight="1" thickBot="1">
      <c r="A36" s="134">
        <v>4</v>
      </c>
      <c r="B36" s="250" t="s">
        <v>125</v>
      </c>
      <c r="C36" s="251"/>
      <c r="D36" s="64"/>
      <c r="E36" s="65"/>
      <c r="F36" s="56">
        <v>10</v>
      </c>
      <c r="G36" s="56">
        <v>9</v>
      </c>
      <c r="H36" s="57">
        <v>8</v>
      </c>
      <c r="I36" s="57">
        <v>7</v>
      </c>
      <c r="J36" s="57">
        <v>8</v>
      </c>
      <c r="K36" s="56">
        <v>9</v>
      </c>
      <c r="L36" s="56">
        <v>8</v>
      </c>
      <c r="M36" s="57">
        <v>9</v>
      </c>
      <c r="N36" s="57">
        <v>8</v>
      </c>
      <c r="O36" s="57">
        <v>10</v>
      </c>
      <c r="P36" s="58">
        <f t="shared" si="11"/>
        <v>86</v>
      </c>
      <c r="Q36" s="59">
        <f t="shared" si="12"/>
        <v>86</v>
      </c>
      <c r="R36" s="60">
        <f t="shared" si="13"/>
        <v>25.8</v>
      </c>
      <c r="S36" s="61">
        <v>6</v>
      </c>
      <c r="T36" s="57">
        <v>6</v>
      </c>
      <c r="U36" s="57">
        <v>5</v>
      </c>
      <c r="V36" s="57">
        <v>4</v>
      </c>
      <c r="W36" s="57">
        <v>10</v>
      </c>
      <c r="X36" s="57">
        <v>6</v>
      </c>
      <c r="Y36" s="57">
        <v>10</v>
      </c>
      <c r="Z36" s="57">
        <v>6</v>
      </c>
      <c r="AA36" s="57">
        <v>6</v>
      </c>
      <c r="AB36" s="57">
        <v>10</v>
      </c>
      <c r="AC36" s="38">
        <f t="shared" si="14"/>
        <v>69</v>
      </c>
      <c r="AD36" s="59">
        <f t="shared" si="15"/>
        <v>69</v>
      </c>
      <c r="AE36" s="60">
        <f t="shared" si="16"/>
        <v>34.5</v>
      </c>
      <c r="AF36" s="139">
        <v>20</v>
      </c>
      <c r="AG36" s="59">
        <f t="shared" si="17"/>
        <v>66.67</v>
      </c>
      <c r="AH36" s="60">
        <f t="shared" si="18"/>
        <v>13.33</v>
      </c>
      <c r="AI36" s="62">
        <f t="shared" si="19"/>
        <v>73.63</v>
      </c>
      <c r="AJ36" s="63">
        <f t="shared" si="20"/>
        <v>83</v>
      </c>
      <c r="AK36" s="2"/>
      <c r="AL36" s="4"/>
      <c r="AM36" s="2"/>
      <c r="AN36" s="3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12" t="e">
        <f>(#REF!/$AF$10)*100</f>
        <v>#REF!</v>
      </c>
    </row>
    <row r="37" spans="1:58" ht="18" customHeight="1" thickBot="1">
      <c r="A37" s="134">
        <v>5</v>
      </c>
      <c r="B37" s="250" t="s">
        <v>126</v>
      </c>
      <c r="C37" s="251"/>
      <c r="D37" s="64"/>
      <c r="E37" s="65"/>
      <c r="F37" s="56">
        <v>10</v>
      </c>
      <c r="G37" s="56">
        <v>10</v>
      </c>
      <c r="H37" s="57">
        <v>10</v>
      </c>
      <c r="I37" s="57">
        <v>8</v>
      </c>
      <c r="J37" s="57">
        <v>9</v>
      </c>
      <c r="K37" s="56">
        <v>10</v>
      </c>
      <c r="L37" s="56">
        <v>10</v>
      </c>
      <c r="M37" s="57">
        <v>8</v>
      </c>
      <c r="N37" s="57">
        <v>6</v>
      </c>
      <c r="O37" s="57">
        <v>6</v>
      </c>
      <c r="P37" s="58">
        <f t="shared" si="11"/>
        <v>87</v>
      </c>
      <c r="Q37" s="59">
        <f t="shared" si="12"/>
        <v>87</v>
      </c>
      <c r="R37" s="60">
        <f t="shared" si="13"/>
        <v>26.1</v>
      </c>
      <c r="S37" s="61">
        <v>9</v>
      </c>
      <c r="T37" s="57">
        <v>7</v>
      </c>
      <c r="U37" s="57">
        <v>8</v>
      </c>
      <c r="V37" s="57">
        <v>9</v>
      </c>
      <c r="W37" s="57">
        <v>6</v>
      </c>
      <c r="X37" s="57">
        <v>7</v>
      </c>
      <c r="Y37" s="57">
        <v>7</v>
      </c>
      <c r="Z37" s="57">
        <v>8</v>
      </c>
      <c r="AA37" s="57">
        <v>8</v>
      </c>
      <c r="AB37" s="57">
        <v>9</v>
      </c>
      <c r="AC37" s="38">
        <f t="shared" si="14"/>
        <v>78</v>
      </c>
      <c r="AD37" s="59">
        <f t="shared" si="15"/>
        <v>78</v>
      </c>
      <c r="AE37" s="60">
        <f t="shared" si="16"/>
        <v>39</v>
      </c>
      <c r="AF37" s="139">
        <v>28</v>
      </c>
      <c r="AG37" s="59">
        <f t="shared" si="17"/>
        <v>93.33</v>
      </c>
      <c r="AH37" s="60">
        <f t="shared" si="18"/>
        <v>18.670000000000002</v>
      </c>
      <c r="AI37" s="62">
        <f t="shared" si="19"/>
        <v>83.77</v>
      </c>
      <c r="AJ37" s="63">
        <f t="shared" si="20"/>
        <v>89</v>
      </c>
      <c r="AK37" s="2"/>
      <c r="AL37" s="4"/>
      <c r="AM37" s="2"/>
      <c r="AN37" s="3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12" t="e">
        <f>(#REF!/$AF$10)*100</f>
        <v>#REF!</v>
      </c>
    </row>
    <row r="38" spans="1:58" ht="18" customHeight="1" thickBot="1">
      <c r="A38" s="134">
        <v>6</v>
      </c>
      <c r="B38" s="250" t="s">
        <v>127</v>
      </c>
      <c r="C38" s="251"/>
      <c r="D38" s="64"/>
      <c r="E38" s="65"/>
      <c r="F38" s="56">
        <v>10</v>
      </c>
      <c r="G38" s="56">
        <v>10</v>
      </c>
      <c r="H38" s="57">
        <v>10</v>
      </c>
      <c r="I38" s="57">
        <v>10</v>
      </c>
      <c r="J38" s="57">
        <v>8</v>
      </c>
      <c r="K38" s="56">
        <v>10</v>
      </c>
      <c r="L38" s="56">
        <v>10</v>
      </c>
      <c r="M38" s="57">
        <v>10</v>
      </c>
      <c r="N38" s="57">
        <v>10</v>
      </c>
      <c r="O38" s="57">
        <v>10</v>
      </c>
      <c r="P38" s="58">
        <f t="shared" si="11"/>
        <v>98</v>
      </c>
      <c r="Q38" s="59">
        <f t="shared" si="12"/>
        <v>98</v>
      </c>
      <c r="R38" s="60">
        <f t="shared" si="13"/>
        <v>29.4</v>
      </c>
      <c r="S38" s="61">
        <v>8</v>
      </c>
      <c r="T38" s="57">
        <v>8</v>
      </c>
      <c r="U38" s="57">
        <v>8</v>
      </c>
      <c r="V38" s="57">
        <v>7</v>
      </c>
      <c r="W38" s="57">
        <v>6</v>
      </c>
      <c r="X38" s="57">
        <v>10</v>
      </c>
      <c r="Y38" s="57">
        <v>6</v>
      </c>
      <c r="Z38" s="57">
        <v>6</v>
      </c>
      <c r="AA38" s="57">
        <v>6</v>
      </c>
      <c r="AB38" s="57">
        <v>6</v>
      </c>
      <c r="AC38" s="38">
        <f t="shared" si="14"/>
        <v>71</v>
      </c>
      <c r="AD38" s="59">
        <f t="shared" si="15"/>
        <v>71</v>
      </c>
      <c r="AE38" s="60">
        <f t="shared" si="16"/>
        <v>35.5</v>
      </c>
      <c r="AF38" s="139">
        <v>25</v>
      </c>
      <c r="AG38" s="59">
        <f t="shared" si="17"/>
        <v>83.33</v>
      </c>
      <c r="AH38" s="60">
        <f t="shared" si="18"/>
        <v>16.670000000000002</v>
      </c>
      <c r="AI38" s="62">
        <f t="shared" si="19"/>
        <v>81.569999999999993</v>
      </c>
      <c r="AJ38" s="63">
        <f t="shared" si="20"/>
        <v>88</v>
      </c>
      <c r="AK38" s="2"/>
      <c r="AL38" s="4"/>
      <c r="AM38" s="2"/>
      <c r="AN38" s="3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12">
        <f t="shared" ref="BF38:BF54" si="21">(AF32/$AF$10)*100</f>
        <v>0</v>
      </c>
    </row>
    <row r="39" spans="1:58" ht="18" customHeight="1" thickBot="1">
      <c r="A39" s="134">
        <v>7</v>
      </c>
      <c r="B39" s="250" t="s">
        <v>128</v>
      </c>
      <c r="C39" s="251"/>
      <c r="D39" s="64"/>
      <c r="E39" s="65"/>
      <c r="F39" s="56">
        <v>8</v>
      </c>
      <c r="G39" s="56">
        <v>8</v>
      </c>
      <c r="H39" s="57">
        <v>6</v>
      </c>
      <c r="I39" s="57">
        <v>6</v>
      </c>
      <c r="J39" s="57">
        <v>7</v>
      </c>
      <c r="K39" s="56">
        <v>5</v>
      </c>
      <c r="L39" s="56">
        <v>6</v>
      </c>
      <c r="M39" s="57">
        <v>6</v>
      </c>
      <c r="N39" s="57">
        <v>6</v>
      </c>
      <c r="O39" s="57">
        <v>6</v>
      </c>
      <c r="P39" s="58">
        <f t="shared" si="11"/>
        <v>64</v>
      </c>
      <c r="Q39" s="59">
        <f t="shared" si="12"/>
        <v>64</v>
      </c>
      <c r="R39" s="60">
        <f t="shared" si="13"/>
        <v>19.2</v>
      </c>
      <c r="S39" s="61">
        <v>7</v>
      </c>
      <c r="T39" s="57">
        <v>10</v>
      </c>
      <c r="U39" s="57">
        <v>8</v>
      </c>
      <c r="V39" s="57">
        <v>10</v>
      </c>
      <c r="W39" s="57">
        <v>10</v>
      </c>
      <c r="X39" s="57">
        <v>10</v>
      </c>
      <c r="Y39" s="57">
        <v>8</v>
      </c>
      <c r="Z39" s="57">
        <v>6</v>
      </c>
      <c r="AA39" s="57">
        <v>10</v>
      </c>
      <c r="AB39" s="57">
        <v>10</v>
      </c>
      <c r="AC39" s="38">
        <f t="shared" si="14"/>
        <v>89</v>
      </c>
      <c r="AD39" s="59">
        <f t="shared" si="15"/>
        <v>89</v>
      </c>
      <c r="AE39" s="60">
        <f t="shared" si="16"/>
        <v>44.5</v>
      </c>
      <c r="AF39" s="139">
        <v>14</v>
      </c>
      <c r="AG39" s="59">
        <f t="shared" si="17"/>
        <v>46.67</v>
      </c>
      <c r="AH39" s="60">
        <f t="shared" si="18"/>
        <v>9.33</v>
      </c>
      <c r="AI39" s="62">
        <f t="shared" si="19"/>
        <v>73.03</v>
      </c>
      <c r="AJ39" s="63">
        <f t="shared" si="20"/>
        <v>83</v>
      </c>
      <c r="AK39" s="2"/>
      <c r="AL39" s="4"/>
      <c r="AM39" s="2"/>
      <c r="AN39" s="3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12">
        <f t="shared" si="21"/>
        <v>66.666666666666657</v>
      </c>
    </row>
    <row r="40" spans="1:58" ht="18" customHeight="1" thickBot="1">
      <c r="A40" s="134">
        <v>8</v>
      </c>
      <c r="B40" s="250" t="s">
        <v>129</v>
      </c>
      <c r="C40" s="251"/>
      <c r="D40" s="64"/>
      <c r="E40" s="65"/>
      <c r="F40" s="56">
        <v>4</v>
      </c>
      <c r="G40" s="56">
        <v>8</v>
      </c>
      <c r="H40" s="57">
        <v>6</v>
      </c>
      <c r="I40" s="57">
        <v>6</v>
      </c>
      <c r="J40" s="57">
        <v>4</v>
      </c>
      <c r="K40" s="56">
        <v>5</v>
      </c>
      <c r="L40" s="56">
        <v>6</v>
      </c>
      <c r="M40" s="57">
        <v>5</v>
      </c>
      <c r="N40" s="57">
        <v>6</v>
      </c>
      <c r="O40" s="57">
        <v>10</v>
      </c>
      <c r="P40" s="58">
        <f t="shared" si="11"/>
        <v>60</v>
      </c>
      <c r="Q40" s="59">
        <f t="shared" si="12"/>
        <v>60</v>
      </c>
      <c r="R40" s="60">
        <f t="shared" si="13"/>
        <v>18</v>
      </c>
      <c r="S40" s="61">
        <v>6</v>
      </c>
      <c r="T40" s="57">
        <v>6</v>
      </c>
      <c r="U40" s="57">
        <v>6</v>
      </c>
      <c r="V40" s="57">
        <v>8</v>
      </c>
      <c r="W40" s="57">
        <v>8</v>
      </c>
      <c r="X40" s="57">
        <v>5</v>
      </c>
      <c r="Y40" s="57">
        <v>8</v>
      </c>
      <c r="Z40" s="57">
        <v>6</v>
      </c>
      <c r="AA40" s="57">
        <v>6</v>
      </c>
      <c r="AB40" s="57">
        <v>7</v>
      </c>
      <c r="AC40" s="38">
        <f t="shared" si="14"/>
        <v>66</v>
      </c>
      <c r="AD40" s="59">
        <f t="shared" si="15"/>
        <v>66</v>
      </c>
      <c r="AE40" s="60">
        <f t="shared" si="16"/>
        <v>33</v>
      </c>
      <c r="AF40" s="139">
        <v>19</v>
      </c>
      <c r="AG40" s="59">
        <f t="shared" si="17"/>
        <v>63.33</v>
      </c>
      <c r="AH40" s="60">
        <f t="shared" si="18"/>
        <v>12.67</v>
      </c>
      <c r="AI40" s="62">
        <f t="shared" si="19"/>
        <v>63.67</v>
      </c>
      <c r="AJ40" s="63">
        <f t="shared" si="20"/>
        <v>77</v>
      </c>
      <c r="AK40" s="2"/>
      <c r="AL40" s="4"/>
      <c r="AM40" s="2"/>
      <c r="AN40" s="3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12">
        <f t="shared" si="21"/>
        <v>96.666666666666671</v>
      </c>
    </row>
    <row r="41" spans="1:58" ht="18" customHeight="1" thickBot="1">
      <c r="A41" s="134">
        <v>9</v>
      </c>
      <c r="B41" s="250" t="s">
        <v>130</v>
      </c>
      <c r="C41" s="251"/>
      <c r="D41" s="64"/>
      <c r="E41" s="65"/>
      <c r="F41" s="56">
        <v>10</v>
      </c>
      <c r="G41" s="56">
        <v>10</v>
      </c>
      <c r="H41" s="57">
        <v>10</v>
      </c>
      <c r="I41" s="57">
        <v>10</v>
      </c>
      <c r="J41" s="57">
        <v>9</v>
      </c>
      <c r="K41" s="56">
        <v>10</v>
      </c>
      <c r="L41" s="56">
        <v>10</v>
      </c>
      <c r="M41" s="57">
        <v>10</v>
      </c>
      <c r="N41" s="57">
        <v>10</v>
      </c>
      <c r="O41" s="57">
        <v>10</v>
      </c>
      <c r="P41" s="58">
        <f t="shared" si="11"/>
        <v>99</v>
      </c>
      <c r="Q41" s="59">
        <f t="shared" si="12"/>
        <v>99</v>
      </c>
      <c r="R41" s="60">
        <f t="shared" si="13"/>
        <v>29.7</v>
      </c>
      <c r="S41" s="61">
        <v>6</v>
      </c>
      <c r="T41" s="57">
        <v>8</v>
      </c>
      <c r="U41" s="57">
        <v>6</v>
      </c>
      <c r="V41" s="57">
        <v>6</v>
      </c>
      <c r="W41" s="57">
        <v>8</v>
      </c>
      <c r="X41" s="57">
        <v>6</v>
      </c>
      <c r="Y41" s="57">
        <v>7</v>
      </c>
      <c r="Z41" s="57">
        <v>7</v>
      </c>
      <c r="AA41" s="57">
        <v>7</v>
      </c>
      <c r="AB41" s="57">
        <v>7</v>
      </c>
      <c r="AC41" s="38">
        <f t="shared" si="14"/>
        <v>68</v>
      </c>
      <c r="AD41" s="59">
        <f t="shared" si="15"/>
        <v>68</v>
      </c>
      <c r="AE41" s="60">
        <f t="shared" si="16"/>
        <v>34</v>
      </c>
      <c r="AF41" s="139">
        <v>29</v>
      </c>
      <c r="AG41" s="59">
        <f t="shared" si="17"/>
        <v>96.67</v>
      </c>
      <c r="AH41" s="60">
        <f t="shared" si="18"/>
        <v>19.329999999999998</v>
      </c>
      <c r="AI41" s="62">
        <f t="shared" si="19"/>
        <v>83.03</v>
      </c>
      <c r="AJ41" s="63">
        <f t="shared" si="20"/>
        <v>89</v>
      </c>
      <c r="AK41" s="2"/>
      <c r="AL41" s="4"/>
      <c r="AM41" s="2"/>
      <c r="AN41" s="3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12">
        <f t="shared" si="21"/>
        <v>76.666666666666671</v>
      </c>
    </row>
    <row r="42" spans="1:58" ht="18" customHeight="1" thickBot="1">
      <c r="A42" s="134">
        <v>10</v>
      </c>
      <c r="B42" s="250" t="s">
        <v>131</v>
      </c>
      <c r="C42" s="251"/>
      <c r="D42" s="64"/>
      <c r="E42" s="65"/>
      <c r="F42" s="56">
        <v>9</v>
      </c>
      <c r="G42" s="56">
        <v>9</v>
      </c>
      <c r="H42" s="57">
        <v>9</v>
      </c>
      <c r="I42" s="57">
        <v>8</v>
      </c>
      <c r="J42" s="57">
        <v>5</v>
      </c>
      <c r="K42" s="56">
        <v>6</v>
      </c>
      <c r="L42" s="56">
        <v>6</v>
      </c>
      <c r="M42" s="57">
        <v>4</v>
      </c>
      <c r="N42" s="57">
        <v>6</v>
      </c>
      <c r="O42" s="57">
        <v>6</v>
      </c>
      <c r="P42" s="58">
        <f t="shared" si="11"/>
        <v>68</v>
      </c>
      <c r="Q42" s="59">
        <f t="shared" si="12"/>
        <v>68</v>
      </c>
      <c r="R42" s="60">
        <f t="shared" si="13"/>
        <v>20.399999999999999</v>
      </c>
      <c r="S42" s="61">
        <v>9</v>
      </c>
      <c r="T42" s="57">
        <v>8</v>
      </c>
      <c r="U42" s="57">
        <v>6</v>
      </c>
      <c r="V42" s="57">
        <v>6</v>
      </c>
      <c r="W42" s="57">
        <v>10</v>
      </c>
      <c r="X42" s="57">
        <v>6</v>
      </c>
      <c r="Y42" s="57">
        <v>7</v>
      </c>
      <c r="Z42" s="57">
        <v>8</v>
      </c>
      <c r="AA42" s="57">
        <v>8</v>
      </c>
      <c r="AB42" s="57">
        <v>10</v>
      </c>
      <c r="AC42" s="38">
        <f t="shared" si="14"/>
        <v>78</v>
      </c>
      <c r="AD42" s="59">
        <f t="shared" si="15"/>
        <v>78</v>
      </c>
      <c r="AE42" s="60">
        <f t="shared" si="16"/>
        <v>39</v>
      </c>
      <c r="AF42" s="139">
        <v>26</v>
      </c>
      <c r="AG42" s="59">
        <f t="shared" si="17"/>
        <v>86.67</v>
      </c>
      <c r="AH42" s="60">
        <f t="shared" si="18"/>
        <v>17.329999999999998</v>
      </c>
      <c r="AI42" s="62">
        <f t="shared" si="19"/>
        <v>76.73</v>
      </c>
      <c r="AJ42" s="63">
        <f t="shared" si="20"/>
        <v>85</v>
      </c>
      <c r="AK42" s="2"/>
      <c r="AL42" s="4"/>
      <c r="AM42" s="2"/>
      <c r="AN42" s="3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12">
        <f t="shared" si="21"/>
        <v>66.666666666666657</v>
      </c>
    </row>
    <row r="43" spans="1:58" ht="18" customHeight="1" thickBot="1">
      <c r="A43" s="134">
        <v>11</v>
      </c>
      <c r="B43" s="250" t="s">
        <v>132</v>
      </c>
      <c r="C43" s="251"/>
      <c r="D43" s="64"/>
      <c r="E43" s="65"/>
      <c r="F43" s="56">
        <v>8</v>
      </c>
      <c r="G43" s="56">
        <v>8</v>
      </c>
      <c r="H43" s="57">
        <v>6</v>
      </c>
      <c r="I43" s="57">
        <v>6</v>
      </c>
      <c r="J43" s="57">
        <v>6</v>
      </c>
      <c r="K43" s="56">
        <v>7</v>
      </c>
      <c r="L43" s="56">
        <v>7</v>
      </c>
      <c r="M43" s="57">
        <v>8</v>
      </c>
      <c r="N43" s="57">
        <v>9</v>
      </c>
      <c r="O43" s="57">
        <v>9</v>
      </c>
      <c r="P43" s="58">
        <f t="shared" si="11"/>
        <v>74</v>
      </c>
      <c r="Q43" s="59">
        <f t="shared" si="12"/>
        <v>74</v>
      </c>
      <c r="R43" s="60">
        <f t="shared" si="13"/>
        <v>22.2</v>
      </c>
      <c r="S43" s="61">
        <v>6</v>
      </c>
      <c r="T43" s="57">
        <v>7</v>
      </c>
      <c r="U43" s="57">
        <v>6</v>
      </c>
      <c r="V43" s="57">
        <v>8</v>
      </c>
      <c r="W43" s="57">
        <v>10</v>
      </c>
      <c r="X43" s="57">
        <v>6</v>
      </c>
      <c r="Y43" s="57">
        <v>7</v>
      </c>
      <c r="Z43" s="57">
        <v>6</v>
      </c>
      <c r="AA43" s="57">
        <v>5</v>
      </c>
      <c r="AB43" s="57">
        <v>10</v>
      </c>
      <c r="AC43" s="38">
        <f t="shared" si="14"/>
        <v>71</v>
      </c>
      <c r="AD43" s="59">
        <f t="shared" si="15"/>
        <v>71</v>
      </c>
      <c r="AE43" s="60">
        <f t="shared" si="16"/>
        <v>35.5</v>
      </c>
      <c r="AF43" s="139">
        <v>26</v>
      </c>
      <c r="AG43" s="59">
        <f t="shared" si="17"/>
        <v>86.67</v>
      </c>
      <c r="AH43" s="60">
        <f t="shared" si="18"/>
        <v>17.329999999999998</v>
      </c>
      <c r="AI43" s="62">
        <f t="shared" si="19"/>
        <v>75.03</v>
      </c>
      <c r="AJ43" s="63">
        <f t="shared" si="20"/>
        <v>84</v>
      </c>
      <c r="AK43" s="2"/>
      <c r="AL43" s="4"/>
      <c r="AM43" s="2"/>
      <c r="AN43" s="3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12">
        <f t="shared" si="21"/>
        <v>93.333333333333329</v>
      </c>
    </row>
    <row r="44" spans="1:58" ht="18" customHeight="1" thickBot="1">
      <c r="A44" s="134">
        <v>12</v>
      </c>
      <c r="B44" s="250" t="s">
        <v>133</v>
      </c>
      <c r="C44" s="251"/>
      <c r="D44" s="64"/>
      <c r="E44" s="65"/>
      <c r="F44" s="56">
        <v>7</v>
      </c>
      <c r="G44" s="56">
        <v>7</v>
      </c>
      <c r="H44" s="57">
        <v>8</v>
      </c>
      <c r="I44" s="57">
        <v>6</v>
      </c>
      <c r="J44" s="57">
        <v>7</v>
      </c>
      <c r="K44" s="56">
        <v>6</v>
      </c>
      <c r="L44" s="56">
        <v>8</v>
      </c>
      <c r="M44" s="57">
        <v>9</v>
      </c>
      <c r="N44" s="57">
        <v>9</v>
      </c>
      <c r="O44" s="57">
        <v>9</v>
      </c>
      <c r="P44" s="58">
        <f t="shared" si="11"/>
        <v>76</v>
      </c>
      <c r="Q44" s="59">
        <f t="shared" si="12"/>
        <v>76</v>
      </c>
      <c r="R44" s="60">
        <f t="shared" si="13"/>
        <v>22.8</v>
      </c>
      <c r="S44" s="61">
        <v>6</v>
      </c>
      <c r="T44" s="57">
        <v>6</v>
      </c>
      <c r="U44" s="57">
        <v>6</v>
      </c>
      <c r="V44" s="57">
        <v>6</v>
      </c>
      <c r="W44" s="57">
        <v>8</v>
      </c>
      <c r="X44" s="57">
        <v>6</v>
      </c>
      <c r="Y44" s="57">
        <v>7</v>
      </c>
      <c r="Z44" s="57">
        <v>6</v>
      </c>
      <c r="AA44" s="57">
        <v>6</v>
      </c>
      <c r="AB44" s="57">
        <v>7</v>
      </c>
      <c r="AC44" s="38">
        <f t="shared" si="14"/>
        <v>64</v>
      </c>
      <c r="AD44" s="59">
        <f t="shared" si="15"/>
        <v>64</v>
      </c>
      <c r="AE44" s="60">
        <f t="shared" si="16"/>
        <v>32</v>
      </c>
      <c r="AF44" s="139">
        <v>25</v>
      </c>
      <c r="AG44" s="59">
        <f t="shared" si="17"/>
        <v>83.33</v>
      </c>
      <c r="AH44" s="60">
        <f t="shared" si="18"/>
        <v>16.670000000000002</v>
      </c>
      <c r="AI44" s="62">
        <f t="shared" si="19"/>
        <v>71.47</v>
      </c>
      <c r="AJ44" s="63">
        <f t="shared" si="20"/>
        <v>82</v>
      </c>
      <c r="AK44" s="2"/>
      <c r="AL44" s="4"/>
      <c r="AM44" s="2"/>
      <c r="AN44" s="3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12">
        <f t="shared" si="21"/>
        <v>83.333333333333343</v>
      </c>
    </row>
    <row r="45" spans="1:58" ht="18" customHeight="1" thickBot="1">
      <c r="A45" s="134">
        <v>13</v>
      </c>
      <c r="B45" s="250" t="s">
        <v>134</v>
      </c>
      <c r="C45" s="251"/>
      <c r="D45" s="64"/>
      <c r="E45" s="65"/>
      <c r="F45" s="56">
        <v>9</v>
      </c>
      <c r="G45" s="56">
        <v>8</v>
      </c>
      <c r="H45" s="57">
        <v>10</v>
      </c>
      <c r="I45" s="57">
        <v>10</v>
      </c>
      <c r="J45" s="57">
        <v>6</v>
      </c>
      <c r="K45" s="56">
        <v>6</v>
      </c>
      <c r="L45" s="56">
        <v>5</v>
      </c>
      <c r="M45" s="57">
        <v>5</v>
      </c>
      <c r="N45" s="57">
        <v>10</v>
      </c>
      <c r="O45" s="57">
        <v>10</v>
      </c>
      <c r="P45" s="58">
        <f t="shared" si="11"/>
        <v>79</v>
      </c>
      <c r="Q45" s="59">
        <f t="shared" si="12"/>
        <v>79</v>
      </c>
      <c r="R45" s="60">
        <f t="shared" si="13"/>
        <v>23.7</v>
      </c>
      <c r="S45" s="61">
        <v>6</v>
      </c>
      <c r="T45" s="57">
        <v>7</v>
      </c>
      <c r="U45" s="57">
        <v>8</v>
      </c>
      <c r="V45" s="57">
        <v>6</v>
      </c>
      <c r="W45" s="57">
        <v>10</v>
      </c>
      <c r="X45" s="57">
        <v>9</v>
      </c>
      <c r="Y45" s="57">
        <v>6</v>
      </c>
      <c r="Z45" s="57">
        <v>7</v>
      </c>
      <c r="AA45" s="57">
        <v>10</v>
      </c>
      <c r="AB45" s="57">
        <v>10</v>
      </c>
      <c r="AC45" s="38">
        <f t="shared" si="14"/>
        <v>79</v>
      </c>
      <c r="AD45" s="59">
        <f t="shared" si="15"/>
        <v>79</v>
      </c>
      <c r="AE45" s="60">
        <f t="shared" si="16"/>
        <v>39.5</v>
      </c>
      <c r="AF45" s="139">
        <v>23</v>
      </c>
      <c r="AG45" s="59">
        <f t="shared" si="17"/>
        <v>76.67</v>
      </c>
      <c r="AH45" s="60">
        <f t="shared" si="18"/>
        <v>15.33</v>
      </c>
      <c r="AI45" s="62">
        <f t="shared" si="19"/>
        <v>78.53</v>
      </c>
      <c r="AJ45" s="63">
        <f t="shared" si="20"/>
        <v>86</v>
      </c>
      <c r="AK45" s="2"/>
      <c r="AL45" s="4"/>
      <c r="AM45" s="2"/>
      <c r="AN45" s="3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12">
        <f t="shared" si="21"/>
        <v>46.666666666666664</v>
      </c>
    </row>
    <row r="46" spans="1:58" ht="17.25" thickBot="1">
      <c r="A46" s="134">
        <v>14</v>
      </c>
      <c r="B46" s="250" t="s">
        <v>135</v>
      </c>
      <c r="C46" s="251"/>
      <c r="D46" s="64"/>
      <c r="E46" s="65"/>
      <c r="F46" s="56">
        <v>10</v>
      </c>
      <c r="G46" s="56">
        <v>10</v>
      </c>
      <c r="H46" s="57">
        <v>10</v>
      </c>
      <c r="I46" s="57">
        <v>10</v>
      </c>
      <c r="J46" s="57">
        <v>6</v>
      </c>
      <c r="K46" s="56">
        <v>6</v>
      </c>
      <c r="L46" s="56">
        <v>6</v>
      </c>
      <c r="M46" s="57">
        <v>8</v>
      </c>
      <c r="N46" s="57">
        <v>10</v>
      </c>
      <c r="O46" s="57">
        <v>10</v>
      </c>
      <c r="P46" s="58">
        <f t="shared" si="11"/>
        <v>86</v>
      </c>
      <c r="Q46" s="59">
        <f t="shared" si="12"/>
        <v>86</v>
      </c>
      <c r="R46" s="60">
        <f t="shared" si="13"/>
        <v>25.8</v>
      </c>
      <c r="S46" s="61">
        <v>6</v>
      </c>
      <c r="T46" s="57">
        <v>10</v>
      </c>
      <c r="U46" s="57">
        <v>6</v>
      </c>
      <c r="V46" s="57">
        <v>6</v>
      </c>
      <c r="W46" s="57">
        <v>10</v>
      </c>
      <c r="X46" s="57">
        <v>10</v>
      </c>
      <c r="Y46" s="57">
        <v>8</v>
      </c>
      <c r="Z46" s="57">
        <v>8</v>
      </c>
      <c r="AA46" s="57">
        <v>6</v>
      </c>
      <c r="AB46" s="57">
        <v>6</v>
      </c>
      <c r="AC46" s="38">
        <f t="shared" si="14"/>
        <v>76</v>
      </c>
      <c r="AD46" s="59">
        <f t="shared" si="15"/>
        <v>76</v>
      </c>
      <c r="AE46" s="60">
        <f t="shared" si="16"/>
        <v>38</v>
      </c>
      <c r="AF46" s="139">
        <v>28</v>
      </c>
      <c r="AG46" s="59">
        <f t="shared" si="17"/>
        <v>93.33</v>
      </c>
      <c r="AH46" s="60">
        <f t="shared" si="18"/>
        <v>18.670000000000002</v>
      </c>
      <c r="AI46" s="62">
        <f t="shared" si="19"/>
        <v>82.47</v>
      </c>
      <c r="AJ46" s="63">
        <f t="shared" si="20"/>
        <v>89</v>
      </c>
      <c r="AK46" s="2"/>
      <c r="AL46" s="4"/>
      <c r="AM46" s="2"/>
      <c r="AN46" s="3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12">
        <f t="shared" si="21"/>
        <v>63.333333333333329</v>
      </c>
    </row>
    <row r="47" spans="1:58" ht="18" customHeight="1" thickBot="1">
      <c r="A47" s="134">
        <v>15</v>
      </c>
      <c r="B47" s="250" t="s">
        <v>136</v>
      </c>
      <c r="C47" s="251"/>
      <c r="D47" s="64"/>
      <c r="E47" s="65"/>
      <c r="F47" s="56">
        <v>10</v>
      </c>
      <c r="G47" s="56">
        <v>10</v>
      </c>
      <c r="H47" s="57">
        <v>6</v>
      </c>
      <c r="I47" s="57">
        <v>6</v>
      </c>
      <c r="J47" s="57">
        <v>6</v>
      </c>
      <c r="K47" s="56">
        <v>7</v>
      </c>
      <c r="L47" s="56">
        <v>10</v>
      </c>
      <c r="M47" s="57">
        <v>10</v>
      </c>
      <c r="N47" s="57">
        <v>9</v>
      </c>
      <c r="O47" s="57">
        <v>9</v>
      </c>
      <c r="P47" s="58">
        <f t="shared" si="11"/>
        <v>83</v>
      </c>
      <c r="Q47" s="59">
        <f t="shared" si="12"/>
        <v>83</v>
      </c>
      <c r="R47" s="60">
        <f t="shared" si="13"/>
        <v>24.9</v>
      </c>
      <c r="S47" s="61">
        <v>6</v>
      </c>
      <c r="T47" s="57">
        <v>6</v>
      </c>
      <c r="U47" s="57">
        <v>8</v>
      </c>
      <c r="V47" s="57">
        <v>5</v>
      </c>
      <c r="W47" s="57">
        <v>6</v>
      </c>
      <c r="X47" s="57">
        <v>10</v>
      </c>
      <c r="Y47" s="57">
        <v>7</v>
      </c>
      <c r="Z47" s="57">
        <v>8</v>
      </c>
      <c r="AA47" s="57">
        <v>9</v>
      </c>
      <c r="AB47" s="57">
        <v>8</v>
      </c>
      <c r="AC47" s="38">
        <f t="shared" si="14"/>
        <v>73</v>
      </c>
      <c r="AD47" s="59">
        <f t="shared" si="15"/>
        <v>73</v>
      </c>
      <c r="AE47" s="60">
        <f t="shared" si="16"/>
        <v>36.5</v>
      </c>
      <c r="AF47" s="139">
        <v>25</v>
      </c>
      <c r="AG47" s="59">
        <f t="shared" si="17"/>
        <v>83.33</v>
      </c>
      <c r="AH47" s="60">
        <f t="shared" si="18"/>
        <v>16.670000000000002</v>
      </c>
      <c r="AI47" s="62">
        <f t="shared" si="19"/>
        <v>78.069999999999993</v>
      </c>
      <c r="AJ47" s="63">
        <f t="shared" si="20"/>
        <v>86</v>
      </c>
      <c r="AK47" s="2"/>
      <c r="AL47" s="4"/>
      <c r="AM47" s="2"/>
      <c r="AN47" s="3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12">
        <f t="shared" si="21"/>
        <v>96.666666666666671</v>
      </c>
    </row>
    <row r="48" spans="1:58" ht="18" customHeight="1" thickBot="1">
      <c r="A48" s="134">
        <v>16</v>
      </c>
      <c r="B48" s="250" t="s">
        <v>137</v>
      </c>
      <c r="C48" s="251"/>
      <c r="D48" s="64"/>
      <c r="E48" s="65"/>
      <c r="F48" s="56">
        <v>10</v>
      </c>
      <c r="G48" s="56">
        <v>9</v>
      </c>
      <c r="H48" s="57">
        <v>8</v>
      </c>
      <c r="I48" s="57">
        <v>6</v>
      </c>
      <c r="J48" s="57">
        <v>6</v>
      </c>
      <c r="K48" s="56">
        <v>6</v>
      </c>
      <c r="L48" s="56">
        <v>10</v>
      </c>
      <c r="M48" s="57">
        <v>7</v>
      </c>
      <c r="N48" s="57">
        <v>7</v>
      </c>
      <c r="O48" s="57">
        <v>7</v>
      </c>
      <c r="P48" s="58">
        <f t="shared" si="11"/>
        <v>76</v>
      </c>
      <c r="Q48" s="59">
        <f t="shared" si="12"/>
        <v>76</v>
      </c>
      <c r="R48" s="60">
        <f t="shared" si="13"/>
        <v>22.8</v>
      </c>
      <c r="S48" s="61">
        <v>6</v>
      </c>
      <c r="T48" s="57">
        <v>6</v>
      </c>
      <c r="U48" s="57">
        <v>6</v>
      </c>
      <c r="V48" s="57">
        <v>5</v>
      </c>
      <c r="W48" s="57">
        <v>5</v>
      </c>
      <c r="X48" s="57">
        <v>5</v>
      </c>
      <c r="Y48" s="57">
        <v>8</v>
      </c>
      <c r="Z48" s="57">
        <v>8</v>
      </c>
      <c r="AA48" s="57">
        <v>6</v>
      </c>
      <c r="AB48" s="57">
        <v>6</v>
      </c>
      <c r="AC48" s="38">
        <f t="shared" si="14"/>
        <v>61</v>
      </c>
      <c r="AD48" s="59">
        <f t="shared" si="15"/>
        <v>61</v>
      </c>
      <c r="AE48" s="60">
        <f t="shared" si="16"/>
        <v>30.5</v>
      </c>
      <c r="AF48" s="139">
        <v>28</v>
      </c>
      <c r="AG48" s="59">
        <f t="shared" si="17"/>
        <v>93.33</v>
      </c>
      <c r="AH48" s="60">
        <f t="shared" si="18"/>
        <v>18.670000000000002</v>
      </c>
      <c r="AI48" s="62">
        <f t="shared" si="19"/>
        <v>71.97</v>
      </c>
      <c r="AJ48" s="63">
        <f t="shared" si="20"/>
        <v>82</v>
      </c>
      <c r="AK48" s="2"/>
      <c r="AL48" s="4"/>
      <c r="AM48" s="2"/>
      <c r="AN48" s="3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12">
        <f t="shared" si="21"/>
        <v>86.666666666666671</v>
      </c>
    </row>
    <row r="49" spans="1:58" ht="18" customHeight="1" thickBot="1">
      <c r="A49" s="134">
        <v>17</v>
      </c>
      <c r="B49" s="250" t="s">
        <v>138</v>
      </c>
      <c r="C49" s="251"/>
      <c r="D49" s="64"/>
      <c r="E49" s="65"/>
      <c r="F49" s="56">
        <v>6</v>
      </c>
      <c r="G49" s="56">
        <v>6</v>
      </c>
      <c r="H49" s="57">
        <v>8</v>
      </c>
      <c r="I49" s="57">
        <v>6</v>
      </c>
      <c r="J49" s="57">
        <v>6</v>
      </c>
      <c r="K49" s="56">
        <v>8</v>
      </c>
      <c r="L49" s="56">
        <v>9</v>
      </c>
      <c r="M49" s="57">
        <v>9</v>
      </c>
      <c r="N49" s="57">
        <v>7</v>
      </c>
      <c r="O49" s="57">
        <v>7</v>
      </c>
      <c r="P49" s="58">
        <f t="shared" si="11"/>
        <v>72</v>
      </c>
      <c r="Q49" s="59">
        <f t="shared" si="12"/>
        <v>72</v>
      </c>
      <c r="R49" s="60">
        <f t="shared" si="13"/>
        <v>21.6</v>
      </c>
      <c r="S49" s="61">
        <v>6</v>
      </c>
      <c r="T49" s="57">
        <v>7</v>
      </c>
      <c r="U49" s="57">
        <v>10</v>
      </c>
      <c r="V49" s="57">
        <v>6</v>
      </c>
      <c r="W49" s="57">
        <v>6</v>
      </c>
      <c r="X49" s="57">
        <v>8</v>
      </c>
      <c r="Y49" s="57">
        <v>5</v>
      </c>
      <c r="Z49" s="57">
        <v>7</v>
      </c>
      <c r="AA49" s="57">
        <v>6</v>
      </c>
      <c r="AB49" s="57">
        <v>7</v>
      </c>
      <c r="AC49" s="38">
        <f t="shared" si="14"/>
        <v>68</v>
      </c>
      <c r="AD49" s="59">
        <f t="shared" si="15"/>
        <v>68</v>
      </c>
      <c r="AE49" s="60">
        <f t="shared" si="16"/>
        <v>34</v>
      </c>
      <c r="AF49" s="139">
        <v>25</v>
      </c>
      <c r="AG49" s="59">
        <f t="shared" si="17"/>
        <v>83.33</v>
      </c>
      <c r="AH49" s="60">
        <f t="shared" si="18"/>
        <v>16.670000000000002</v>
      </c>
      <c r="AI49" s="62">
        <f t="shared" si="19"/>
        <v>72.27</v>
      </c>
      <c r="AJ49" s="63">
        <f t="shared" si="20"/>
        <v>82</v>
      </c>
      <c r="AK49" s="2"/>
      <c r="AL49" s="4"/>
      <c r="AM49" s="2"/>
      <c r="AN49" s="3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12">
        <f t="shared" si="21"/>
        <v>86.666666666666671</v>
      </c>
    </row>
    <row r="50" spans="1:58" ht="18" customHeight="1" thickBot="1">
      <c r="A50" s="134">
        <v>18</v>
      </c>
      <c r="B50" s="250" t="s">
        <v>139</v>
      </c>
      <c r="C50" s="251"/>
      <c r="D50" s="64"/>
      <c r="E50" s="65"/>
      <c r="F50" s="56">
        <v>10</v>
      </c>
      <c r="G50" s="56">
        <v>10</v>
      </c>
      <c r="H50" s="57">
        <v>10</v>
      </c>
      <c r="I50" s="57">
        <v>10</v>
      </c>
      <c r="J50" s="57">
        <v>9</v>
      </c>
      <c r="K50" s="56">
        <v>8</v>
      </c>
      <c r="L50" s="56">
        <v>7</v>
      </c>
      <c r="M50" s="57">
        <v>9</v>
      </c>
      <c r="N50" s="57">
        <v>7</v>
      </c>
      <c r="O50" s="57">
        <v>8</v>
      </c>
      <c r="P50" s="58">
        <f t="shared" si="11"/>
        <v>88</v>
      </c>
      <c r="Q50" s="59">
        <f t="shared" si="12"/>
        <v>88</v>
      </c>
      <c r="R50" s="60">
        <f t="shared" si="13"/>
        <v>26.4</v>
      </c>
      <c r="S50" s="61">
        <v>8</v>
      </c>
      <c r="T50" s="57">
        <v>6</v>
      </c>
      <c r="U50" s="57">
        <v>6</v>
      </c>
      <c r="V50" s="57">
        <v>7</v>
      </c>
      <c r="W50" s="57">
        <v>6</v>
      </c>
      <c r="X50" s="57">
        <v>9</v>
      </c>
      <c r="Y50" s="57">
        <v>6</v>
      </c>
      <c r="Z50" s="57">
        <v>5</v>
      </c>
      <c r="AA50" s="57">
        <v>5</v>
      </c>
      <c r="AB50" s="57">
        <v>6</v>
      </c>
      <c r="AC50" s="38">
        <f t="shared" si="14"/>
        <v>64</v>
      </c>
      <c r="AD50" s="59">
        <f t="shared" si="15"/>
        <v>64</v>
      </c>
      <c r="AE50" s="60">
        <f t="shared" si="16"/>
        <v>32</v>
      </c>
      <c r="AF50" s="139">
        <v>26</v>
      </c>
      <c r="AG50" s="59">
        <f t="shared" si="17"/>
        <v>86.67</v>
      </c>
      <c r="AH50" s="60">
        <f t="shared" si="18"/>
        <v>17.329999999999998</v>
      </c>
      <c r="AI50" s="62">
        <f t="shared" si="19"/>
        <v>75.73</v>
      </c>
      <c r="AJ50" s="63">
        <f t="shared" si="20"/>
        <v>84</v>
      </c>
      <c r="AK50" s="2"/>
      <c r="AL50" s="4"/>
      <c r="AM50" s="2"/>
      <c r="AN50" s="3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12">
        <f t="shared" si="21"/>
        <v>83.333333333333343</v>
      </c>
    </row>
    <row r="51" spans="1:58" ht="18" customHeight="1" thickBot="1">
      <c r="A51" s="135">
        <v>19</v>
      </c>
      <c r="B51" s="250" t="s">
        <v>140</v>
      </c>
      <c r="C51" s="251"/>
      <c r="D51" s="126"/>
      <c r="E51" s="127"/>
      <c r="F51" s="141">
        <v>9</v>
      </c>
      <c r="G51" s="141">
        <v>8</v>
      </c>
      <c r="H51" s="136">
        <v>7</v>
      </c>
      <c r="I51" s="136">
        <v>7</v>
      </c>
      <c r="J51" s="136">
        <v>7</v>
      </c>
      <c r="K51" s="141">
        <v>8</v>
      </c>
      <c r="L51" s="141">
        <v>8</v>
      </c>
      <c r="M51" s="136">
        <v>9</v>
      </c>
      <c r="N51" s="136">
        <v>7</v>
      </c>
      <c r="O51" s="136">
        <v>8</v>
      </c>
      <c r="P51" s="128">
        <f t="shared" si="11"/>
        <v>78</v>
      </c>
      <c r="Q51" s="129">
        <f t="shared" si="12"/>
        <v>78</v>
      </c>
      <c r="R51" s="130">
        <f t="shared" si="13"/>
        <v>23.4</v>
      </c>
      <c r="S51" s="142">
        <v>9</v>
      </c>
      <c r="T51" s="136">
        <v>8</v>
      </c>
      <c r="U51" s="136">
        <v>8</v>
      </c>
      <c r="V51" s="136">
        <v>4</v>
      </c>
      <c r="W51" s="136">
        <v>6</v>
      </c>
      <c r="X51" s="136">
        <v>8</v>
      </c>
      <c r="Y51" s="136">
        <v>6</v>
      </c>
      <c r="Z51" s="136">
        <v>6</v>
      </c>
      <c r="AA51" s="136">
        <v>6</v>
      </c>
      <c r="AB51" s="136">
        <v>6</v>
      </c>
      <c r="AC51" s="140">
        <f t="shared" si="14"/>
        <v>67</v>
      </c>
      <c r="AD51" s="129">
        <f t="shared" si="15"/>
        <v>67</v>
      </c>
      <c r="AE51" s="130">
        <f t="shared" si="16"/>
        <v>33.5</v>
      </c>
      <c r="AF51" s="143">
        <v>25</v>
      </c>
      <c r="AG51" s="129">
        <f t="shared" si="17"/>
        <v>83.33</v>
      </c>
      <c r="AH51" s="130">
        <f t="shared" si="18"/>
        <v>16.670000000000002</v>
      </c>
      <c r="AI51" s="131">
        <f t="shared" si="19"/>
        <v>73.569999999999993</v>
      </c>
      <c r="AJ51" s="132">
        <f t="shared" si="20"/>
        <v>83</v>
      </c>
      <c r="AK51" s="2"/>
      <c r="AL51" s="4"/>
      <c r="AM51" s="2"/>
      <c r="AN51" s="3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12">
        <f t="shared" si="21"/>
        <v>76.666666666666671</v>
      </c>
    </row>
    <row r="52" spans="1:58" ht="18" customHeight="1" thickBot="1">
      <c r="A52" s="144">
        <v>20</v>
      </c>
      <c r="B52" s="252" t="s">
        <v>141</v>
      </c>
      <c r="C52" s="253"/>
      <c r="D52" s="145"/>
      <c r="E52" s="146"/>
      <c r="F52" s="147">
        <v>9</v>
      </c>
      <c r="G52" s="147">
        <v>9</v>
      </c>
      <c r="H52" s="148">
        <v>10</v>
      </c>
      <c r="I52" s="148">
        <v>9</v>
      </c>
      <c r="J52" s="148">
        <v>9</v>
      </c>
      <c r="K52" s="147">
        <v>9</v>
      </c>
      <c r="L52" s="147">
        <v>9</v>
      </c>
      <c r="M52" s="148">
        <v>9</v>
      </c>
      <c r="N52" s="148">
        <v>8</v>
      </c>
      <c r="O52" s="148">
        <v>8</v>
      </c>
      <c r="P52" s="149">
        <f t="shared" si="11"/>
        <v>89</v>
      </c>
      <c r="Q52" s="150">
        <f t="shared" si="12"/>
        <v>89</v>
      </c>
      <c r="R52" s="151">
        <f t="shared" si="13"/>
        <v>26.7</v>
      </c>
      <c r="S52" s="152">
        <v>10</v>
      </c>
      <c r="T52" s="148">
        <v>7</v>
      </c>
      <c r="U52" s="148">
        <v>8</v>
      </c>
      <c r="V52" s="148">
        <v>6</v>
      </c>
      <c r="W52" s="148">
        <v>6</v>
      </c>
      <c r="X52" s="148">
        <v>10</v>
      </c>
      <c r="Y52" s="148">
        <v>10</v>
      </c>
      <c r="Z52" s="148">
        <v>6</v>
      </c>
      <c r="AA52" s="148">
        <v>6</v>
      </c>
      <c r="AB52" s="148">
        <v>6</v>
      </c>
      <c r="AC52" s="153">
        <f t="shared" si="14"/>
        <v>75</v>
      </c>
      <c r="AD52" s="150">
        <f t="shared" si="15"/>
        <v>75</v>
      </c>
      <c r="AE52" s="151">
        <f t="shared" si="16"/>
        <v>37.5</v>
      </c>
      <c r="AF52" s="154">
        <v>21</v>
      </c>
      <c r="AG52" s="150">
        <f t="shared" si="17"/>
        <v>70</v>
      </c>
      <c r="AH52" s="151">
        <f t="shared" si="18"/>
        <v>14</v>
      </c>
      <c r="AI52" s="155">
        <f t="shared" si="19"/>
        <v>78.2</v>
      </c>
      <c r="AJ52" s="156">
        <f t="shared" si="20"/>
        <v>86</v>
      </c>
      <c r="AK52" s="2"/>
      <c r="AL52" s="4"/>
      <c r="AM52" s="2"/>
      <c r="AN52" s="3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12">
        <f t="shared" si="21"/>
        <v>93.333333333333329</v>
      </c>
    </row>
    <row r="53" spans="1:58" ht="18" customHeight="1">
      <c r="AK53" s="2"/>
      <c r="AL53" s="4"/>
      <c r="AM53" s="2"/>
      <c r="AN53" s="3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12">
        <f t="shared" si="21"/>
        <v>83.333333333333343</v>
      </c>
    </row>
    <row r="54" spans="1:58" ht="18" customHeight="1">
      <c r="AK54" s="2"/>
      <c r="AL54" s="4"/>
      <c r="AM54" s="2"/>
      <c r="AN54" s="3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12">
        <f t="shared" si="21"/>
        <v>93.333333333333329</v>
      </c>
    </row>
    <row r="55" spans="1:58" ht="18" customHeight="1">
      <c r="A55" s="2"/>
      <c r="B55" s="4"/>
      <c r="C55" s="2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12"/>
    </row>
    <row r="56" spans="1:58" ht="18" customHeight="1">
      <c r="A56" s="2"/>
      <c r="B56" s="4"/>
      <c r="C56" s="2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12"/>
    </row>
    <row r="57" spans="1:58" ht="18" customHeight="1">
      <c r="AK57" s="2"/>
      <c r="AL57" s="4"/>
      <c r="AM57" s="2"/>
      <c r="AN57" s="3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12">
        <f>(AF51/$AF$10)*100</f>
        <v>83.333333333333343</v>
      </c>
    </row>
    <row r="58" spans="1:58" ht="18" customHeight="1">
      <c r="AK58" s="2"/>
      <c r="AL58" s="4"/>
      <c r="AM58" s="2"/>
      <c r="AN58" s="3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12">
        <f>(AF52/$AF$10)*100</f>
        <v>70</v>
      </c>
    </row>
    <row r="59" spans="1:58" ht="17.45" customHeight="1">
      <c r="AK59" s="2"/>
      <c r="AL59" s="2"/>
      <c r="AM59" s="2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2"/>
      <c r="BF59" s="2"/>
    </row>
  </sheetData>
  <mergeCells count="70">
    <mergeCell ref="B30:C30"/>
    <mergeCell ref="B31:C31"/>
    <mergeCell ref="B25:C25"/>
    <mergeCell ref="B26:C26"/>
    <mergeCell ref="B27:C27"/>
    <mergeCell ref="B28:C28"/>
    <mergeCell ref="B29:C29"/>
    <mergeCell ref="B20:C20"/>
    <mergeCell ref="B21:C21"/>
    <mergeCell ref="B22:C22"/>
    <mergeCell ref="B23:C23"/>
    <mergeCell ref="B24:C24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AG5:AI5"/>
    <mergeCell ref="A1:AJ2"/>
    <mergeCell ref="A3:AJ3"/>
    <mergeCell ref="C4:F4"/>
    <mergeCell ref="G4:J4"/>
    <mergeCell ref="L4:N4"/>
    <mergeCell ref="O4:R4"/>
    <mergeCell ref="T4:W4"/>
    <mergeCell ref="X4:AC4"/>
    <mergeCell ref="AC7:AF7"/>
    <mergeCell ref="B5:F5"/>
    <mergeCell ref="G5:R5"/>
    <mergeCell ref="T5:W5"/>
    <mergeCell ref="X5:AC5"/>
    <mergeCell ref="AD5:AF5"/>
    <mergeCell ref="AL13:AM13"/>
    <mergeCell ref="B14:C14"/>
    <mergeCell ref="B15:C15"/>
    <mergeCell ref="AG7:AJ7"/>
    <mergeCell ref="B8:E8"/>
    <mergeCell ref="F8:R8"/>
    <mergeCell ref="S8:AE8"/>
    <mergeCell ref="AF8:AH8"/>
    <mergeCell ref="AI9:AI10"/>
    <mergeCell ref="AJ9:AJ10"/>
    <mergeCell ref="B10:E10"/>
    <mergeCell ref="A7:E7"/>
    <mergeCell ref="F7:J7"/>
    <mergeCell ref="K7:P7"/>
    <mergeCell ref="Q7:R7"/>
    <mergeCell ref="S7:AB7"/>
    <mergeCell ref="B16:C16"/>
    <mergeCell ref="B19:C19"/>
    <mergeCell ref="B11:E11"/>
    <mergeCell ref="B12:C12"/>
    <mergeCell ref="B13:C13"/>
    <mergeCell ref="B17:C17"/>
    <mergeCell ref="B18:C18"/>
  </mergeCells>
  <dataValidations count="2">
    <dataValidation type="decimal" operator="lessThanOrEqual" allowBlank="1" showInputMessage="1" showErrorMessage="1" prompt="Encode learner's raw score." sqref="S12:AB31 S33:AB52 F12:P31 F33:O52" xr:uid="{365FCAED-B823-4551-AFCE-0BB698C8DA63}">
      <formula1>F$10</formula1>
    </dataValidation>
    <dataValidation type="decimal" operator="lessThanOrEqual" allowBlank="1" showInputMessage="1" showErrorMessage="1" prompt="Encode learner's raw score" sqref="AF33:AF52 AF12:AF31" xr:uid="{1C6A8B3F-7A7B-46A2-8A73-6F1A1CDE7F38}">
      <formula1>$AF$10</formula1>
    </dataValidation>
  </dataValidations>
  <pageMargins left="0.70866141732283472" right="0.70866141732283472" top="0.74803149606299213" bottom="0.74803149606299213" header="0.31496062992125984" footer="0.31496062992125984"/>
  <pageSetup paperSize="14" scale="60" fitToHeight="0" orientation="landscape" r:id="rId1"/>
  <colBreaks count="1" manualBreakCount="1">
    <brk id="36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FCE3-E0A2-4D90-9772-C3431817BD7C}">
  <sheetPr>
    <tabColor rgb="FFFF9933"/>
    <pageSetUpPr fitToPage="1"/>
  </sheetPr>
  <dimension ref="A1:BF59"/>
  <sheetViews>
    <sheetView showGridLines="0" topLeftCell="A22" zoomScale="96" zoomScaleNormal="96" workbookViewId="0">
      <selection activeCell="T46" sqref="T46"/>
    </sheetView>
  </sheetViews>
  <sheetFormatPr defaultColWidth="14.42578125" defaultRowHeight="15" customHeight="1"/>
  <cols>
    <col min="1" max="1" width="4.140625" customWidth="1"/>
    <col min="2" max="2" width="28.7109375" customWidth="1"/>
    <col min="3" max="3" width="12.28515625" customWidth="1"/>
    <col min="4" max="4" width="3.28515625" hidden="1" customWidth="1"/>
    <col min="5" max="5" width="1" hidden="1" customWidth="1"/>
    <col min="6" max="15" width="4.42578125" customWidth="1"/>
    <col min="16" max="16" width="6.28515625" customWidth="1"/>
    <col min="17" max="17" width="8.5703125" customWidth="1"/>
    <col min="18" max="18" width="7.140625" customWidth="1"/>
    <col min="19" max="28" width="4.42578125" customWidth="1"/>
    <col min="29" max="29" width="6.28515625" customWidth="1"/>
    <col min="30" max="31" width="7.140625" customWidth="1"/>
    <col min="32" max="32" width="6.28515625" customWidth="1"/>
    <col min="33" max="34" width="7.140625" customWidth="1"/>
    <col min="35" max="36" width="10.28515625" customWidth="1"/>
    <col min="37" max="37" width="4.7109375" customWidth="1"/>
    <col min="38" max="38" width="24.7109375" customWidth="1"/>
    <col min="39" max="39" width="8.140625" customWidth="1"/>
    <col min="40" max="57" width="4.7109375" customWidth="1"/>
    <col min="58" max="58" width="4.7109375" hidden="1" customWidth="1"/>
  </cols>
  <sheetData>
    <row r="1" spans="1:58" ht="15" customHeight="1">
      <c r="A1" s="241" t="s">
        <v>12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"/>
      <c r="AL1" s="2"/>
      <c r="AM1" s="2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2"/>
      <c r="BF1" s="2"/>
    </row>
    <row r="2" spans="1:58" ht="15" customHeight="1">
      <c r="A2" s="233"/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"/>
      <c r="AL2" s="2"/>
      <c r="AM2" s="2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2"/>
      <c r="BF2" s="2"/>
    </row>
    <row r="3" spans="1:58" ht="15" customHeight="1">
      <c r="A3" s="242" t="s">
        <v>13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"/>
      <c r="AL3" s="2"/>
      <c r="AM3" s="2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2"/>
      <c r="BF3" s="2"/>
    </row>
    <row r="4" spans="1:58" ht="21" customHeight="1">
      <c r="A4" s="4"/>
      <c r="B4" s="5"/>
      <c r="C4" s="232" t="s">
        <v>0</v>
      </c>
      <c r="D4" s="233"/>
      <c r="E4" s="233"/>
      <c r="F4" s="233"/>
      <c r="G4" s="243" t="s">
        <v>93</v>
      </c>
      <c r="H4" s="235"/>
      <c r="I4" s="235"/>
      <c r="J4" s="236"/>
      <c r="K4" s="19"/>
      <c r="L4" s="244" t="s">
        <v>1</v>
      </c>
      <c r="M4" s="245"/>
      <c r="N4" s="245"/>
      <c r="O4" s="243" t="s">
        <v>95</v>
      </c>
      <c r="P4" s="235"/>
      <c r="Q4" s="235"/>
      <c r="R4" s="236"/>
      <c r="S4" s="20"/>
      <c r="T4" s="237" t="s">
        <v>2</v>
      </c>
      <c r="U4" s="233"/>
      <c r="V4" s="233"/>
      <c r="W4" s="233"/>
      <c r="X4" s="243" t="s">
        <v>94</v>
      </c>
      <c r="Y4" s="235"/>
      <c r="Z4" s="235"/>
      <c r="AA4" s="235"/>
      <c r="AB4" s="235"/>
      <c r="AC4" s="236"/>
      <c r="AD4" s="21"/>
      <c r="AE4" s="22"/>
      <c r="AF4" s="20"/>
      <c r="AG4" s="20"/>
      <c r="AH4" s="20"/>
      <c r="AI4" s="20"/>
      <c r="AJ4" s="6"/>
      <c r="AK4" s="6"/>
      <c r="AL4" s="6"/>
      <c r="AM4" s="6"/>
      <c r="AN4" s="6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2"/>
      <c r="BF4" s="2"/>
    </row>
    <row r="5" spans="1:58" ht="21.75" customHeight="1">
      <c r="A5" s="4"/>
      <c r="B5" s="232" t="s">
        <v>3</v>
      </c>
      <c r="C5" s="233"/>
      <c r="D5" s="233"/>
      <c r="E5" s="233"/>
      <c r="F5" s="233"/>
      <c r="G5" s="234" t="s">
        <v>70</v>
      </c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6"/>
      <c r="S5" s="19"/>
      <c r="T5" s="237" t="s">
        <v>4</v>
      </c>
      <c r="U5" s="233"/>
      <c r="V5" s="233"/>
      <c r="W5" s="233"/>
      <c r="X5" s="238">
        <v>136632</v>
      </c>
      <c r="Y5" s="235"/>
      <c r="Z5" s="235"/>
      <c r="AA5" s="235"/>
      <c r="AB5" s="235"/>
      <c r="AC5" s="236"/>
      <c r="AD5" s="239" t="s">
        <v>5</v>
      </c>
      <c r="AE5" s="233"/>
      <c r="AF5" s="240"/>
      <c r="AG5" s="234" t="s">
        <v>98</v>
      </c>
      <c r="AH5" s="235"/>
      <c r="AI5" s="236"/>
      <c r="AJ5" s="8"/>
      <c r="AK5" s="6"/>
      <c r="AL5" s="6"/>
      <c r="AM5" s="6"/>
      <c r="AN5" s="6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2"/>
      <c r="BF5" s="2"/>
    </row>
    <row r="6" spans="1:58" ht="13.5" customHeight="1" thickBo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7"/>
      <c r="R6" s="7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7"/>
      <c r="AE6" s="7"/>
      <c r="AF6" s="4"/>
      <c r="AG6" s="7"/>
      <c r="AH6" s="7"/>
      <c r="AI6" s="7"/>
      <c r="AJ6" s="9"/>
      <c r="AK6" s="2"/>
      <c r="AL6" s="2"/>
      <c r="AM6" s="2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2"/>
      <c r="BF6" s="2"/>
    </row>
    <row r="7" spans="1:58" ht="23.25" customHeight="1" thickBot="1">
      <c r="A7" s="228" t="s">
        <v>6</v>
      </c>
      <c r="B7" s="209"/>
      <c r="C7" s="209"/>
      <c r="D7" s="209"/>
      <c r="E7" s="210"/>
      <c r="F7" s="229" t="s">
        <v>7</v>
      </c>
      <c r="G7" s="209"/>
      <c r="H7" s="209"/>
      <c r="I7" s="209"/>
      <c r="J7" s="209"/>
      <c r="K7" s="215"/>
      <c r="L7" s="209"/>
      <c r="M7" s="209"/>
      <c r="N7" s="209"/>
      <c r="O7" s="209"/>
      <c r="P7" s="210"/>
      <c r="Q7" s="230" t="s">
        <v>8</v>
      </c>
      <c r="R7" s="209"/>
      <c r="S7" s="215"/>
      <c r="T7" s="209"/>
      <c r="U7" s="209"/>
      <c r="V7" s="209"/>
      <c r="W7" s="209"/>
      <c r="X7" s="209"/>
      <c r="Y7" s="209"/>
      <c r="Z7" s="209"/>
      <c r="AA7" s="209"/>
      <c r="AB7" s="210"/>
      <c r="AC7" s="231" t="s">
        <v>14</v>
      </c>
      <c r="AD7" s="209"/>
      <c r="AE7" s="209"/>
      <c r="AF7" s="209"/>
      <c r="AG7" s="254" t="s">
        <v>45</v>
      </c>
      <c r="AH7" s="209"/>
      <c r="AI7" s="209"/>
      <c r="AJ7" s="210"/>
      <c r="AK7" s="2"/>
      <c r="AL7" s="2"/>
      <c r="AM7" s="2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2"/>
      <c r="BF7" s="2"/>
    </row>
    <row r="8" spans="1:58" ht="55.5" customHeight="1" thickBot="1">
      <c r="A8" s="10"/>
      <c r="B8" s="216" t="s">
        <v>9</v>
      </c>
      <c r="C8" s="217"/>
      <c r="D8" s="217"/>
      <c r="E8" s="218"/>
      <c r="F8" s="219" t="s">
        <v>16</v>
      </c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20"/>
      <c r="S8" s="221" t="s">
        <v>17</v>
      </c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20"/>
      <c r="AF8" s="222" t="s">
        <v>18</v>
      </c>
      <c r="AG8" s="209"/>
      <c r="AH8" s="220"/>
      <c r="AI8" s="23" t="s">
        <v>19</v>
      </c>
      <c r="AJ8" s="24" t="s">
        <v>20</v>
      </c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</row>
    <row r="9" spans="1:58" ht="18" customHeight="1" thickBot="1">
      <c r="A9" s="25"/>
      <c r="B9" s="26"/>
      <c r="C9" s="26"/>
      <c r="D9" s="26"/>
      <c r="E9" s="27"/>
      <c r="F9" s="28">
        <v>1</v>
      </c>
      <c r="G9" s="29">
        <v>2</v>
      </c>
      <c r="H9" s="29">
        <v>3</v>
      </c>
      <c r="I9" s="29">
        <v>4</v>
      </c>
      <c r="J9" s="29">
        <v>5</v>
      </c>
      <c r="K9" s="29">
        <v>6</v>
      </c>
      <c r="L9" s="29">
        <v>7</v>
      </c>
      <c r="M9" s="29">
        <v>8</v>
      </c>
      <c r="N9" s="29">
        <v>9</v>
      </c>
      <c r="O9" s="30">
        <v>10</v>
      </c>
      <c r="P9" s="25" t="s">
        <v>21</v>
      </c>
      <c r="Q9" s="31" t="s">
        <v>22</v>
      </c>
      <c r="R9" s="32" t="s">
        <v>23</v>
      </c>
      <c r="S9" s="33">
        <v>1</v>
      </c>
      <c r="T9" s="29">
        <v>2</v>
      </c>
      <c r="U9" s="29">
        <v>3</v>
      </c>
      <c r="V9" s="29">
        <v>4</v>
      </c>
      <c r="W9" s="29">
        <v>5</v>
      </c>
      <c r="X9" s="29">
        <v>6</v>
      </c>
      <c r="Y9" s="29">
        <v>7</v>
      </c>
      <c r="Z9" s="29">
        <v>8</v>
      </c>
      <c r="AA9" s="29">
        <v>9</v>
      </c>
      <c r="AB9" s="30">
        <v>10</v>
      </c>
      <c r="AC9" s="25" t="s">
        <v>21</v>
      </c>
      <c r="AD9" s="31" t="s">
        <v>22</v>
      </c>
      <c r="AE9" s="32" t="s">
        <v>23</v>
      </c>
      <c r="AF9" s="34">
        <v>1</v>
      </c>
      <c r="AG9" s="31" t="s">
        <v>22</v>
      </c>
      <c r="AH9" s="32" t="s">
        <v>23</v>
      </c>
      <c r="AI9" s="223" t="s">
        <v>24</v>
      </c>
      <c r="AJ9" s="225" t="s">
        <v>24</v>
      </c>
      <c r="AK9" s="34"/>
      <c r="AL9" s="34"/>
      <c r="AM9" s="34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</row>
    <row r="10" spans="1:58" ht="18" customHeight="1" thickBot="1">
      <c r="A10" s="11"/>
      <c r="B10" s="227" t="s">
        <v>25</v>
      </c>
      <c r="C10" s="209"/>
      <c r="D10" s="209"/>
      <c r="E10" s="210"/>
      <c r="F10" s="36">
        <v>10</v>
      </c>
      <c r="G10" s="37">
        <v>10</v>
      </c>
      <c r="H10" s="37">
        <v>10</v>
      </c>
      <c r="I10" s="37">
        <v>10</v>
      </c>
      <c r="J10" s="37">
        <v>10</v>
      </c>
      <c r="K10" s="37">
        <v>10</v>
      </c>
      <c r="L10" s="37">
        <v>10</v>
      </c>
      <c r="M10" s="37">
        <v>10</v>
      </c>
      <c r="N10" s="37">
        <v>10</v>
      </c>
      <c r="O10" s="37">
        <v>10</v>
      </c>
      <c r="P10" s="38">
        <f>IF(COUNT($F10:$O10)=0,"",SUM($F10:$O10))</f>
        <v>100</v>
      </c>
      <c r="Q10" s="39">
        <v>100</v>
      </c>
      <c r="R10" s="40">
        <v>0.3</v>
      </c>
      <c r="S10" s="36">
        <v>10</v>
      </c>
      <c r="T10" s="36">
        <v>10</v>
      </c>
      <c r="U10" s="36">
        <v>10</v>
      </c>
      <c r="V10" s="36">
        <v>10</v>
      </c>
      <c r="W10" s="36">
        <v>10</v>
      </c>
      <c r="X10" s="36">
        <v>10</v>
      </c>
      <c r="Y10" s="36">
        <v>10</v>
      </c>
      <c r="Z10" s="36">
        <v>10</v>
      </c>
      <c r="AA10" s="36">
        <v>10</v>
      </c>
      <c r="AB10" s="36">
        <v>10</v>
      </c>
      <c r="AC10" s="38">
        <f>IF(COUNT($S10:$AB10)=0,"",SUM($S10:$AB10))</f>
        <v>100</v>
      </c>
      <c r="AD10" s="39">
        <v>100</v>
      </c>
      <c r="AE10" s="40">
        <v>0.5</v>
      </c>
      <c r="AF10" s="41">
        <v>30</v>
      </c>
      <c r="AG10" s="39">
        <v>100</v>
      </c>
      <c r="AH10" s="40">
        <v>0.2</v>
      </c>
      <c r="AI10" s="224"/>
      <c r="AJ10" s="226"/>
      <c r="AK10" s="12"/>
      <c r="AL10" s="42" t="s">
        <v>26</v>
      </c>
      <c r="AM10" s="43">
        <f>COUNTA(AF12:AF88)</f>
        <v>40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</row>
    <row r="11" spans="1:58" ht="18" customHeight="1" thickBot="1">
      <c r="A11" s="13"/>
      <c r="B11" s="208" t="s">
        <v>10</v>
      </c>
      <c r="C11" s="209"/>
      <c r="D11" s="209"/>
      <c r="E11" s="210"/>
      <c r="F11" s="44"/>
      <c r="G11" s="45"/>
      <c r="H11" s="45"/>
      <c r="I11" s="45"/>
      <c r="J11" s="45"/>
      <c r="K11" s="45"/>
      <c r="L11" s="45"/>
      <c r="M11" s="45"/>
      <c r="N11" s="45"/>
      <c r="O11" s="46"/>
      <c r="P11" s="47"/>
      <c r="Q11" s="48"/>
      <c r="R11" s="49"/>
      <c r="S11" s="50"/>
      <c r="T11" s="45"/>
      <c r="U11" s="45"/>
      <c r="V11" s="45"/>
      <c r="W11" s="45"/>
      <c r="X11" s="45"/>
      <c r="Y11" s="45"/>
      <c r="Z11" s="45"/>
      <c r="AA11" s="45"/>
      <c r="AB11" s="46"/>
      <c r="AC11" s="48"/>
      <c r="AD11" s="48"/>
      <c r="AE11" s="49"/>
      <c r="AF11" s="51"/>
      <c r="AG11" s="48"/>
      <c r="AH11" s="49"/>
      <c r="AI11" s="52"/>
      <c r="AJ11" s="53"/>
      <c r="AK11" s="12"/>
      <c r="AL11" s="54" t="s">
        <v>27</v>
      </c>
      <c r="AM11" s="55">
        <f>AF10</f>
        <v>30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</row>
    <row r="12" spans="1:58" ht="18" customHeight="1" thickBot="1">
      <c r="A12" s="133">
        <v>1</v>
      </c>
      <c r="B12" s="211" t="s">
        <v>102</v>
      </c>
      <c r="C12" s="212"/>
      <c r="D12" s="14"/>
      <c r="E12" s="15"/>
      <c r="F12" s="56">
        <v>6</v>
      </c>
      <c r="G12" s="56">
        <v>10</v>
      </c>
      <c r="H12" s="56">
        <v>5</v>
      </c>
      <c r="I12" s="56">
        <v>10</v>
      </c>
      <c r="J12" s="56">
        <v>4</v>
      </c>
      <c r="K12" s="56">
        <v>10</v>
      </c>
      <c r="L12" s="56">
        <v>10</v>
      </c>
      <c r="M12" s="56">
        <v>10</v>
      </c>
      <c r="N12" s="56">
        <v>10</v>
      </c>
      <c r="O12" s="56">
        <v>5</v>
      </c>
      <c r="P12" s="56">
        <v>52</v>
      </c>
      <c r="Q12" s="59">
        <f>IF(ISERROR(IF($P12="","",ROUND(($P12/$P$10)*$Q$10,2))),"",IF($P12="","",ROUND(($P12/$P$10)*$Q$10,2)))</f>
        <v>52</v>
      </c>
      <c r="R12" s="60">
        <f>IF($Q12="","",ROUND($Q12*$R$10,2))</f>
        <v>15.6</v>
      </c>
      <c r="S12" s="61">
        <v>10</v>
      </c>
      <c r="T12" s="57">
        <v>10</v>
      </c>
      <c r="U12" s="57">
        <v>8</v>
      </c>
      <c r="V12" s="57">
        <v>5</v>
      </c>
      <c r="W12" s="57">
        <v>10</v>
      </c>
      <c r="X12" s="57">
        <v>10</v>
      </c>
      <c r="Y12" s="57">
        <v>10</v>
      </c>
      <c r="Z12" s="57">
        <v>10</v>
      </c>
      <c r="AA12" s="57">
        <v>10</v>
      </c>
      <c r="AB12" s="57">
        <v>10</v>
      </c>
      <c r="AC12" s="38">
        <f t="shared" ref="AC12:AC31" si="0">IF(COUNT($S12:$AB12)=0,"",SUM($S12:$AB12))</f>
        <v>93</v>
      </c>
      <c r="AD12" s="59">
        <f t="shared" ref="AD12:AD31" si="1">IF(ISERROR(IF($AC12="","",ROUND(($AC12/$AC$10)*$AD$10,2))),"",IF($AC12="","",ROUND(($AC12/$AC$10)*$AD$10,2)))</f>
        <v>93</v>
      </c>
      <c r="AE12" s="60">
        <f t="shared" ref="AE12:AE31" si="2">IF($AD12="","",ROUND($AD12*$AE$10,2))</f>
        <v>46.5</v>
      </c>
      <c r="AF12" s="139">
        <v>22</v>
      </c>
      <c r="AG12" s="59">
        <f t="shared" ref="AG12:AG31" si="3">IF(ISERROR(IF($AF12="","",ROUND(($AF12/$AF$10)*$AG$10,2))),"",IF($AF12="","",ROUND(($AF12/$AF$10)*$AG$10,2)))</f>
        <v>73.33</v>
      </c>
      <c r="AH12" s="60">
        <f t="shared" ref="AH12:AH31" si="4">IF($AG12="","",ROUND($AG12*$AH$10,2))</f>
        <v>14.67</v>
      </c>
      <c r="AI12" s="62">
        <f t="shared" ref="AI12:AI31" si="5">IF(ISERROR(IF($AF12="","",ROUND(SUM($R12,$AE12,$AH12),2))),"",IF($AF12="","",ROUND(SUM($R12,$AE12,$AH12),2)))</f>
        <v>76.77</v>
      </c>
      <c r="AJ12" s="63">
        <f>IF(ISERROR(IF($AF12="","",VLOOKUP(AI12,TRANSMUTATION_TABLE,4,TRUE))),"",IF($AF12="","",VLOOKUP(AI12,TRANSMUTATION_TABLE,4,TRUE)))</f>
        <v>85</v>
      </c>
      <c r="AK12" s="2"/>
      <c r="AL12" s="4"/>
      <c r="AM12" s="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>
        <f t="shared" ref="BF12:BF31" si="6">(AF12/$AF$10)*100</f>
        <v>73.333333333333329</v>
      </c>
    </row>
    <row r="13" spans="1:58" ht="18" customHeight="1" thickBot="1">
      <c r="A13" s="134">
        <v>2</v>
      </c>
      <c r="B13" s="206" t="s">
        <v>103</v>
      </c>
      <c r="C13" s="207"/>
      <c r="D13" s="64"/>
      <c r="E13" s="65"/>
      <c r="F13" s="56">
        <v>8</v>
      </c>
      <c r="G13" s="56">
        <v>8</v>
      </c>
      <c r="H13" s="56">
        <v>8</v>
      </c>
      <c r="I13" s="56">
        <v>6</v>
      </c>
      <c r="J13" s="56">
        <v>7</v>
      </c>
      <c r="K13" s="56">
        <v>6</v>
      </c>
      <c r="L13" s="56">
        <v>9</v>
      </c>
      <c r="M13" s="56">
        <v>8</v>
      </c>
      <c r="N13" s="56">
        <v>6</v>
      </c>
      <c r="O13" s="56">
        <v>4</v>
      </c>
      <c r="P13" s="56">
        <v>66</v>
      </c>
      <c r="Q13" s="59">
        <f t="shared" ref="Q13:Q31" si="7">IF(ISERROR(IF($P13="","",ROUND(($P13/$P$10)*$Q$10,2))),"",IF($P13="","",ROUND(($P13/$P$10)*$Q$10,2)))</f>
        <v>66</v>
      </c>
      <c r="R13" s="60">
        <f>IF($Q13="","",ROUND($Q13*$R$10,2))</f>
        <v>19.8</v>
      </c>
      <c r="S13" s="61">
        <v>10</v>
      </c>
      <c r="T13" s="57">
        <v>8</v>
      </c>
      <c r="U13" s="57">
        <v>9</v>
      </c>
      <c r="V13" s="57">
        <v>8</v>
      </c>
      <c r="W13" s="57">
        <v>8</v>
      </c>
      <c r="X13" s="57">
        <v>10</v>
      </c>
      <c r="Y13" s="57">
        <v>10</v>
      </c>
      <c r="Z13" s="57">
        <v>8</v>
      </c>
      <c r="AA13" s="57">
        <v>9</v>
      </c>
      <c r="AB13" s="57">
        <v>9</v>
      </c>
      <c r="AC13" s="38">
        <f t="shared" si="0"/>
        <v>89</v>
      </c>
      <c r="AD13" s="59">
        <f t="shared" si="1"/>
        <v>89</v>
      </c>
      <c r="AE13" s="60">
        <f t="shared" si="2"/>
        <v>44.5</v>
      </c>
      <c r="AF13" s="139">
        <v>21</v>
      </c>
      <c r="AG13" s="59">
        <f t="shared" si="3"/>
        <v>70</v>
      </c>
      <c r="AH13" s="60">
        <f t="shared" si="4"/>
        <v>14</v>
      </c>
      <c r="AI13" s="62">
        <f t="shared" si="5"/>
        <v>78.3</v>
      </c>
      <c r="AJ13" s="63">
        <f t="shared" ref="AJ13:AJ31" si="8">IF(ISERROR(IF($AF13="","",VLOOKUP(AI13,TRANSMUTATION_TABLE,4,TRUE))),"",IF($AF13="","",VLOOKUP(AI13,TRANSMUTATION_TABLE,4,TRUE)))</f>
        <v>86</v>
      </c>
      <c r="AK13" s="2"/>
      <c r="AL13" s="213" t="s">
        <v>28</v>
      </c>
      <c r="AM13" s="214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>
        <f t="shared" si="6"/>
        <v>70</v>
      </c>
    </row>
    <row r="14" spans="1:58" ht="18" customHeight="1" thickBot="1">
      <c r="A14" s="134">
        <v>3</v>
      </c>
      <c r="B14" s="206" t="s">
        <v>104</v>
      </c>
      <c r="C14" s="207"/>
      <c r="D14" s="64"/>
      <c r="E14" s="65"/>
      <c r="F14" s="56">
        <v>6</v>
      </c>
      <c r="G14" s="56">
        <v>8</v>
      </c>
      <c r="H14" s="56">
        <v>8</v>
      </c>
      <c r="I14" s="56">
        <v>10</v>
      </c>
      <c r="J14" s="56">
        <v>10</v>
      </c>
      <c r="K14" s="56">
        <v>10</v>
      </c>
      <c r="L14" s="56">
        <v>10</v>
      </c>
      <c r="M14" s="56">
        <v>6</v>
      </c>
      <c r="N14" s="56">
        <v>10</v>
      </c>
      <c r="O14" s="56">
        <v>10</v>
      </c>
      <c r="P14" s="56">
        <v>80</v>
      </c>
      <c r="Q14" s="59">
        <f t="shared" si="7"/>
        <v>80</v>
      </c>
      <c r="R14" s="60">
        <f t="shared" ref="R14:R31" si="9">IF($Q14="","",ROUND($Q14*$R$10,2))</f>
        <v>24</v>
      </c>
      <c r="S14" s="61">
        <v>8</v>
      </c>
      <c r="T14" s="57">
        <v>5</v>
      </c>
      <c r="U14" s="57">
        <v>7</v>
      </c>
      <c r="V14" s="57">
        <v>6</v>
      </c>
      <c r="W14" s="57">
        <v>10</v>
      </c>
      <c r="X14" s="57">
        <v>4</v>
      </c>
      <c r="Y14" s="57">
        <v>8</v>
      </c>
      <c r="Z14" s="57">
        <v>9</v>
      </c>
      <c r="AA14" s="57">
        <v>6</v>
      </c>
      <c r="AB14" s="57">
        <v>7</v>
      </c>
      <c r="AC14" s="38">
        <f t="shared" si="0"/>
        <v>70</v>
      </c>
      <c r="AD14" s="59">
        <f t="shared" si="1"/>
        <v>70</v>
      </c>
      <c r="AE14" s="60">
        <f t="shared" si="2"/>
        <v>35</v>
      </c>
      <c r="AF14" s="139">
        <v>25</v>
      </c>
      <c r="AG14" s="59">
        <f t="shared" si="3"/>
        <v>83.33</v>
      </c>
      <c r="AH14" s="60">
        <f t="shared" si="4"/>
        <v>16.670000000000002</v>
      </c>
      <c r="AI14" s="62">
        <f t="shared" si="5"/>
        <v>75.67</v>
      </c>
      <c r="AJ14" s="63">
        <f t="shared" si="8"/>
        <v>84</v>
      </c>
      <c r="AK14" s="2"/>
      <c r="AL14" s="66" t="s">
        <v>29</v>
      </c>
      <c r="AM14" s="67">
        <f>COUNTIF(BF12:BF58,"&gt;=75")</f>
        <v>14</v>
      </c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>
        <f t="shared" si="6"/>
        <v>83.333333333333343</v>
      </c>
    </row>
    <row r="15" spans="1:58" ht="18" customHeight="1" thickBot="1">
      <c r="A15" s="134">
        <v>4</v>
      </c>
      <c r="B15" s="206" t="s">
        <v>105</v>
      </c>
      <c r="C15" s="207"/>
      <c r="D15" s="64"/>
      <c r="E15" s="65"/>
      <c r="F15" s="56">
        <v>6</v>
      </c>
      <c r="G15" s="56">
        <v>5</v>
      </c>
      <c r="H15" s="56">
        <v>5</v>
      </c>
      <c r="I15" s="56">
        <v>5</v>
      </c>
      <c r="J15" s="56">
        <v>8</v>
      </c>
      <c r="K15" s="56">
        <v>6</v>
      </c>
      <c r="L15" s="56">
        <v>9</v>
      </c>
      <c r="M15" s="56">
        <v>5</v>
      </c>
      <c r="N15" s="56">
        <v>4</v>
      </c>
      <c r="O15" s="56">
        <v>7</v>
      </c>
      <c r="P15" s="56">
        <v>60</v>
      </c>
      <c r="Q15" s="59">
        <f t="shared" si="7"/>
        <v>60</v>
      </c>
      <c r="R15" s="60">
        <f t="shared" si="9"/>
        <v>18</v>
      </c>
      <c r="S15" s="61">
        <v>6</v>
      </c>
      <c r="T15" s="57">
        <v>6</v>
      </c>
      <c r="U15" s="57">
        <v>9</v>
      </c>
      <c r="V15" s="57">
        <v>9</v>
      </c>
      <c r="W15" s="57">
        <v>6</v>
      </c>
      <c r="X15" s="57">
        <v>8</v>
      </c>
      <c r="Y15" s="57">
        <v>9</v>
      </c>
      <c r="Z15" s="57">
        <v>9</v>
      </c>
      <c r="AA15" s="57">
        <v>10</v>
      </c>
      <c r="AB15" s="57">
        <v>8</v>
      </c>
      <c r="AC15" s="140">
        <f t="shared" si="0"/>
        <v>80</v>
      </c>
      <c r="AD15" s="129">
        <f t="shared" si="1"/>
        <v>80</v>
      </c>
      <c r="AE15" s="130">
        <f t="shared" si="2"/>
        <v>40</v>
      </c>
      <c r="AF15" s="139">
        <v>15</v>
      </c>
      <c r="AG15" s="59">
        <f t="shared" si="3"/>
        <v>50</v>
      </c>
      <c r="AH15" s="60">
        <f t="shared" si="4"/>
        <v>10</v>
      </c>
      <c r="AI15" s="62">
        <f t="shared" si="5"/>
        <v>68</v>
      </c>
      <c r="AJ15" s="63">
        <f t="shared" si="8"/>
        <v>80</v>
      </c>
      <c r="AK15" s="2"/>
      <c r="AL15" s="68" t="s">
        <v>30</v>
      </c>
      <c r="AM15" s="69">
        <f>AM14/AM10</f>
        <v>0.35</v>
      </c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>
        <f t="shared" si="6"/>
        <v>50</v>
      </c>
    </row>
    <row r="16" spans="1:58" ht="18" customHeight="1" thickBot="1">
      <c r="A16" s="134">
        <v>5</v>
      </c>
      <c r="B16" s="206" t="s">
        <v>106</v>
      </c>
      <c r="C16" s="207"/>
      <c r="D16" s="64"/>
      <c r="E16" s="65"/>
      <c r="F16" s="56">
        <v>5</v>
      </c>
      <c r="G16" s="56">
        <v>7</v>
      </c>
      <c r="H16" s="56">
        <v>6</v>
      </c>
      <c r="I16" s="56">
        <v>7</v>
      </c>
      <c r="J16" s="56">
        <v>9</v>
      </c>
      <c r="K16" s="56">
        <v>6</v>
      </c>
      <c r="L16" s="56">
        <v>8</v>
      </c>
      <c r="M16" s="56">
        <v>6</v>
      </c>
      <c r="N16" s="56">
        <v>8</v>
      </c>
      <c r="O16" s="56">
        <v>6</v>
      </c>
      <c r="P16" s="56">
        <v>60</v>
      </c>
      <c r="Q16" s="59">
        <f>IF(ISERROR(IF($P16="","",ROUND(($P16/$P$10)*$Q$10,AQ82))),"",IF($P16="","",ROUND(($P16/$P$10)*$Q$10,2)))</f>
        <v>60</v>
      </c>
      <c r="R16" s="130">
        <f t="shared" si="9"/>
        <v>18</v>
      </c>
      <c r="S16" s="61">
        <v>6</v>
      </c>
      <c r="T16" s="57">
        <v>6</v>
      </c>
      <c r="U16" s="57">
        <v>10</v>
      </c>
      <c r="V16" s="57">
        <v>6</v>
      </c>
      <c r="W16" s="57">
        <v>8</v>
      </c>
      <c r="X16" s="57">
        <v>10</v>
      </c>
      <c r="Y16" s="57">
        <v>10</v>
      </c>
      <c r="Z16" s="57">
        <v>10</v>
      </c>
      <c r="AA16" s="57">
        <v>6</v>
      </c>
      <c r="AB16" s="57">
        <v>10</v>
      </c>
      <c r="AC16" s="38">
        <f t="shared" si="0"/>
        <v>82</v>
      </c>
      <c r="AD16" s="59">
        <f t="shared" si="1"/>
        <v>82</v>
      </c>
      <c r="AE16" s="60">
        <f t="shared" si="2"/>
        <v>41</v>
      </c>
      <c r="AF16" s="139">
        <v>15</v>
      </c>
      <c r="AG16" s="59">
        <f t="shared" si="3"/>
        <v>50</v>
      </c>
      <c r="AH16" s="60">
        <f t="shared" si="4"/>
        <v>10</v>
      </c>
      <c r="AI16" s="62">
        <f t="shared" si="5"/>
        <v>69</v>
      </c>
      <c r="AJ16" s="63">
        <f t="shared" si="8"/>
        <v>80</v>
      </c>
      <c r="AK16" s="2"/>
      <c r="AL16" s="68" t="s">
        <v>31</v>
      </c>
      <c r="AM16" s="70">
        <f>AM10-AM14</f>
        <v>26</v>
      </c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>
        <f t="shared" si="6"/>
        <v>50</v>
      </c>
    </row>
    <row r="17" spans="1:58" ht="18" customHeight="1" thickBot="1">
      <c r="A17" s="134">
        <v>6</v>
      </c>
      <c r="B17" s="206" t="s">
        <v>107</v>
      </c>
      <c r="C17" s="207"/>
      <c r="D17" s="64"/>
      <c r="E17" s="65"/>
      <c r="F17" s="56">
        <v>9</v>
      </c>
      <c r="G17" s="56">
        <v>9</v>
      </c>
      <c r="H17" s="56">
        <v>8</v>
      </c>
      <c r="I17" s="56">
        <v>6</v>
      </c>
      <c r="J17" s="56">
        <v>6</v>
      </c>
      <c r="K17" s="56">
        <v>7</v>
      </c>
      <c r="L17" s="56">
        <v>8</v>
      </c>
      <c r="M17" s="56">
        <v>8</v>
      </c>
      <c r="N17" s="56">
        <v>9</v>
      </c>
      <c r="O17" s="56">
        <v>8</v>
      </c>
      <c r="P17" s="56">
        <v>78</v>
      </c>
      <c r="Q17" s="59">
        <f t="shared" si="7"/>
        <v>78</v>
      </c>
      <c r="R17" s="60">
        <f t="shared" si="9"/>
        <v>23.4</v>
      </c>
      <c r="S17" s="61">
        <v>9</v>
      </c>
      <c r="T17" s="57">
        <v>10</v>
      </c>
      <c r="U17" s="57">
        <v>10</v>
      </c>
      <c r="V17" s="57">
        <v>10</v>
      </c>
      <c r="W17" s="57">
        <v>10</v>
      </c>
      <c r="X17" s="57">
        <v>10</v>
      </c>
      <c r="Y17" s="57">
        <v>10</v>
      </c>
      <c r="Z17" s="57">
        <v>10</v>
      </c>
      <c r="AA17" s="57">
        <v>10</v>
      </c>
      <c r="AB17" s="57">
        <v>10</v>
      </c>
      <c r="AC17" s="38">
        <f t="shared" si="0"/>
        <v>99</v>
      </c>
      <c r="AD17" s="59">
        <f t="shared" si="1"/>
        <v>99</v>
      </c>
      <c r="AE17" s="60">
        <f t="shared" si="2"/>
        <v>49.5</v>
      </c>
      <c r="AF17" s="139">
        <v>17</v>
      </c>
      <c r="AG17" s="59">
        <f t="shared" si="3"/>
        <v>56.67</v>
      </c>
      <c r="AH17" s="60">
        <f t="shared" si="4"/>
        <v>11.33</v>
      </c>
      <c r="AI17" s="62">
        <f t="shared" si="5"/>
        <v>84.23</v>
      </c>
      <c r="AJ17" s="63">
        <f t="shared" si="8"/>
        <v>90</v>
      </c>
      <c r="AK17" s="2"/>
      <c r="AL17" s="71" t="s">
        <v>30</v>
      </c>
      <c r="AM17" s="72">
        <f>1-AM15</f>
        <v>0.65</v>
      </c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>
        <f t="shared" si="6"/>
        <v>56.666666666666664</v>
      </c>
    </row>
    <row r="18" spans="1:58" ht="18" customHeight="1" thickBot="1">
      <c r="A18" s="134">
        <v>7</v>
      </c>
      <c r="B18" s="206" t="s">
        <v>108</v>
      </c>
      <c r="C18" s="207"/>
      <c r="D18" s="64">
        <v>0</v>
      </c>
      <c r="E18" s="65"/>
      <c r="F18" s="56">
        <v>5</v>
      </c>
      <c r="G18" s="56">
        <v>8</v>
      </c>
      <c r="H18" s="56">
        <v>8</v>
      </c>
      <c r="I18" s="56">
        <v>8</v>
      </c>
      <c r="J18" s="56">
        <v>6</v>
      </c>
      <c r="K18" s="56">
        <v>4</v>
      </c>
      <c r="L18" s="56">
        <v>6</v>
      </c>
      <c r="M18" s="56">
        <v>5</v>
      </c>
      <c r="N18" s="56">
        <v>4</v>
      </c>
      <c r="O18" s="56">
        <v>6</v>
      </c>
      <c r="P18" s="56">
        <v>60</v>
      </c>
      <c r="Q18" s="59">
        <f t="shared" si="7"/>
        <v>60</v>
      </c>
      <c r="R18" s="60">
        <f t="shared" si="9"/>
        <v>18</v>
      </c>
      <c r="S18" s="61">
        <v>9</v>
      </c>
      <c r="T18" s="57">
        <v>9</v>
      </c>
      <c r="U18" s="57">
        <v>8</v>
      </c>
      <c r="V18" s="57">
        <v>8</v>
      </c>
      <c r="W18" s="57">
        <v>6</v>
      </c>
      <c r="X18" s="57">
        <v>9</v>
      </c>
      <c r="Y18" s="57">
        <v>9</v>
      </c>
      <c r="Z18" s="57">
        <v>9</v>
      </c>
      <c r="AA18" s="57">
        <v>9</v>
      </c>
      <c r="AB18" s="57">
        <v>5</v>
      </c>
      <c r="AC18" s="140">
        <f t="shared" si="0"/>
        <v>81</v>
      </c>
      <c r="AD18" s="129">
        <f t="shared" si="1"/>
        <v>81</v>
      </c>
      <c r="AE18" s="130">
        <f t="shared" si="2"/>
        <v>40.5</v>
      </c>
      <c r="AF18" s="139">
        <v>14</v>
      </c>
      <c r="AG18" s="59">
        <f t="shared" si="3"/>
        <v>46.67</v>
      </c>
      <c r="AH18" s="60">
        <f t="shared" si="4"/>
        <v>9.33</v>
      </c>
      <c r="AI18" s="62">
        <f t="shared" si="5"/>
        <v>67.83</v>
      </c>
      <c r="AJ18" s="63">
        <f t="shared" si="8"/>
        <v>79</v>
      </c>
      <c r="AK18" s="2"/>
      <c r="AL18" s="4"/>
      <c r="AM18" s="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>
        <f t="shared" si="6"/>
        <v>46.666666666666664</v>
      </c>
    </row>
    <row r="19" spans="1:58" ht="18" customHeight="1" thickBot="1">
      <c r="A19" s="134">
        <v>8</v>
      </c>
      <c r="B19" s="206" t="s">
        <v>109</v>
      </c>
      <c r="C19" s="207"/>
      <c r="D19" s="64"/>
      <c r="E19" s="65"/>
      <c r="F19" s="56">
        <v>5</v>
      </c>
      <c r="G19" s="56">
        <v>5</v>
      </c>
      <c r="H19" s="56">
        <v>5</v>
      </c>
      <c r="I19" s="56">
        <v>5</v>
      </c>
      <c r="J19" s="56">
        <v>6</v>
      </c>
      <c r="K19" s="56">
        <v>6</v>
      </c>
      <c r="L19" s="56">
        <v>5</v>
      </c>
      <c r="M19" s="56">
        <v>5</v>
      </c>
      <c r="N19" s="56">
        <v>5</v>
      </c>
      <c r="O19" s="56">
        <v>6</v>
      </c>
      <c r="P19" s="56">
        <v>54</v>
      </c>
      <c r="Q19" s="59">
        <f t="shared" si="7"/>
        <v>54</v>
      </c>
      <c r="R19" s="60">
        <f t="shared" si="9"/>
        <v>16.2</v>
      </c>
      <c r="S19" s="61">
        <v>7</v>
      </c>
      <c r="T19" s="57">
        <v>8</v>
      </c>
      <c r="U19" s="57">
        <v>6</v>
      </c>
      <c r="V19" s="57">
        <v>10</v>
      </c>
      <c r="W19" s="57">
        <v>10</v>
      </c>
      <c r="X19" s="57">
        <v>10</v>
      </c>
      <c r="Y19" s="57">
        <v>8</v>
      </c>
      <c r="Z19" s="57">
        <v>9</v>
      </c>
      <c r="AA19" s="57">
        <v>8</v>
      </c>
      <c r="AB19" s="57">
        <v>5</v>
      </c>
      <c r="AC19" s="38">
        <f t="shared" si="0"/>
        <v>81</v>
      </c>
      <c r="AD19" s="59">
        <f t="shared" si="1"/>
        <v>81</v>
      </c>
      <c r="AE19" s="60">
        <f t="shared" si="2"/>
        <v>40.5</v>
      </c>
      <c r="AF19" s="139">
        <v>17</v>
      </c>
      <c r="AG19" s="59">
        <f t="shared" si="3"/>
        <v>56.67</v>
      </c>
      <c r="AH19" s="60">
        <f t="shared" si="4"/>
        <v>11.33</v>
      </c>
      <c r="AI19" s="62">
        <f t="shared" si="5"/>
        <v>68.03</v>
      </c>
      <c r="AJ19" s="63">
        <f t="shared" si="8"/>
        <v>80</v>
      </c>
      <c r="AK19" s="2"/>
      <c r="AL19" s="73" t="s">
        <v>32</v>
      </c>
      <c r="AM19" s="74" t="s">
        <v>33</v>
      </c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>
        <f t="shared" si="6"/>
        <v>56.666666666666664</v>
      </c>
    </row>
    <row r="20" spans="1:58" ht="18" customHeight="1" thickBot="1">
      <c r="A20" s="134">
        <v>9</v>
      </c>
      <c r="B20" s="206" t="s">
        <v>110</v>
      </c>
      <c r="C20" s="207"/>
      <c r="D20" s="64">
        <v>0</v>
      </c>
      <c r="E20" s="65"/>
      <c r="F20" s="56">
        <v>5</v>
      </c>
      <c r="G20" s="56">
        <v>6</v>
      </c>
      <c r="H20" s="56">
        <v>7</v>
      </c>
      <c r="I20" s="56">
        <v>6</v>
      </c>
      <c r="J20" s="56">
        <v>7</v>
      </c>
      <c r="K20" s="56">
        <v>8</v>
      </c>
      <c r="L20" s="56">
        <v>9</v>
      </c>
      <c r="M20" s="56">
        <v>5</v>
      </c>
      <c r="N20" s="56">
        <v>5</v>
      </c>
      <c r="O20" s="56">
        <v>9</v>
      </c>
      <c r="P20" s="56">
        <v>70</v>
      </c>
      <c r="Q20" s="59">
        <f t="shared" si="7"/>
        <v>70</v>
      </c>
      <c r="R20" s="60">
        <f t="shared" si="9"/>
        <v>21</v>
      </c>
      <c r="S20" s="61">
        <v>9</v>
      </c>
      <c r="T20" s="57">
        <v>5</v>
      </c>
      <c r="U20" s="57">
        <v>8</v>
      </c>
      <c r="V20" s="57">
        <v>8</v>
      </c>
      <c r="W20" s="57">
        <v>9</v>
      </c>
      <c r="X20" s="57">
        <v>10</v>
      </c>
      <c r="Y20" s="57">
        <v>10</v>
      </c>
      <c r="Z20" s="57">
        <v>7</v>
      </c>
      <c r="AA20" s="57">
        <v>9</v>
      </c>
      <c r="AB20" s="57">
        <v>10</v>
      </c>
      <c r="AC20" s="38">
        <f t="shared" si="0"/>
        <v>85</v>
      </c>
      <c r="AD20" s="59">
        <f t="shared" si="1"/>
        <v>85</v>
      </c>
      <c r="AE20" s="60">
        <f t="shared" si="2"/>
        <v>42.5</v>
      </c>
      <c r="AF20" s="139">
        <v>19</v>
      </c>
      <c r="AG20" s="59">
        <f t="shared" si="3"/>
        <v>63.33</v>
      </c>
      <c r="AH20" s="60">
        <f t="shared" si="4"/>
        <v>12.67</v>
      </c>
      <c r="AI20" s="62">
        <f t="shared" si="5"/>
        <v>76.17</v>
      </c>
      <c r="AJ20" s="63">
        <f t="shared" si="8"/>
        <v>85</v>
      </c>
      <c r="AK20" s="2"/>
      <c r="AL20" s="66" t="s">
        <v>34</v>
      </c>
      <c r="AM20" s="75">
        <f>AVERAGE(AF12:AF52)</f>
        <v>20.425000000000001</v>
      </c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>
        <f t="shared" si="6"/>
        <v>63.333333333333329</v>
      </c>
    </row>
    <row r="21" spans="1:58" ht="18" customHeight="1" thickBot="1">
      <c r="A21" s="134">
        <v>10</v>
      </c>
      <c r="B21" s="206" t="s">
        <v>111</v>
      </c>
      <c r="C21" s="207"/>
      <c r="D21" s="64"/>
      <c r="E21" s="65"/>
      <c r="F21" s="56">
        <v>5</v>
      </c>
      <c r="G21" s="56">
        <v>6</v>
      </c>
      <c r="H21" s="56">
        <v>7</v>
      </c>
      <c r="I21" s="56">
        <v>6</v>
      </c>
      <c r="J21" s="56">
        <v>6</v>
      </c>
      <c r="K21" s="56">
        <v>6</v>
      </c>
      <c r="L21" s="56">
        <v>6</v>
      </c>
      <c r="M21" s="56">
        <v>5</v>
      </c>
      <c r="N21" s="56">
        <v>6</v>
      </c>
      <c r="O21" s="56">
        <v>9</v>
      </c>
      <c r="P21" s="56">
        <v>65</v>
      </c>
      <c r="Q21" s="59">
        <f t="shared" si="7"/>
        <v>65</v>
      </c>
      <c r="R21" s="60">
        <f t="shared" si="9"/>
        <v>19.5</v>
      </c>
      <c r="S21" s="61">
        <v>9</v>
      </c>
      <c r="T21" s="57">
        <v>5</v>
      </c>
      <c r="U21" s="57">
        <v>8</v>
      </c>
      <c r="V21" s="57">
        <v>8</v>
      </c>
      <c r="W21" s="57">
        <v>10</v>
      </c>
      <c r="X21" s="57">
        <v>10</v>
      </c>
      <c r="Y21" s="57">
        <v>10</v>
      </c>
      <c r="Z21" s="57">
        <v>10</v>
      </c>
      <c r="AA21" s="57">
        <v>9</v>
      </c>
      <c r="AB21" s="57">
        <v>7</v>
      </c>
      <c r="AC21" s="38">
        <f t="shared" si="0"/>
        <v>86</v>
      </c>
      <c r="AD21" s="59">
        <f t="shared" si="1"/>
        <v>86</v>
      </c>
      <c r="AE21" s="60">
        <f t="shared" si="2"/>
        <v>43</v>
      </c>
      <c r="AF21" s="139">
        <v>21</v>
      </c>
      <c r="AG21" s="59">
        <f t="shared" si="3"/>
        <v>70</v>
      </c>
      <c r="AH21" s="60">
        <f t="shared" si="4"/>
        <v>14</v>
      </c>
      <c r="AI21" s="62">
        <f t="shared" si="5"/>
        <v>76.5</v>
      </c>
      <c r="AJ21" s="63">
        <f t="shared" si="8"/>
        <v>85</v>
      </c>
      <c r="AK21" s="2"/>
      <c r="AL21" s="68" t="s">
        <v>35</v>
      </c>
      <c r="AM21" s="70">
        <f>MEDIAN(AF12:AF52)</f>
        <v>21</v>
      </c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>
        <f t="shared" si="6"/>
        <v>70</v>
      </c>
    </row>
    <row r="22" spans="1:58" ht="18" customHeight="1" thickBot="1">
      <c r="A22" s="134">
        <v>11</v>
      </c>
      <c r="B22" s="206" t="s">
        <v>112</v>
      </c>
      <c r="C22" s="207"/>
      <c r="D22" s="64"/>
      <c r="E22" s="65"/>
      <c r="F22" s="56">
        <v>6</v>
      </c>
      <c r="G22" s="56">
        <v>8</v>
      </c>
      <c r="H22" s="56">
        <v>8</v>
      </c>
      <c r="I22" s="56">
        <v>8</v>
      </c>
      <c r="J22" s="56">
        <v>7</v>
      </c>
      <c r="K22" s="56">
        <v>8</v>
      </c>
      <c r="L22" s="56">
        <v>9</v>
      </c>
      <c r="M22" s="56">
        <v>5</v>
      </c>
      <c r="N22" s="56">
        <v>5</v>
      </c>
      <c r="O22" s="56">
        <v>9</v>
      </c>
      <c r="P22" s="56">
        <v>76</v>
      </c>
      <c r="Q22" s="59">
        <f t="shared" si="7"/>
        <v>76</v>
      </c>
      <c r="R22" s="60">
        <f t="shared" si="9"/>
        <v>22.8</v>
      </c>
      <c r="S22" s="61">
        <v>9</v>
      </c>
      <c r="T22" s="57">
        <v>10</v>
      </c>
      <c r="U22" s="57">
        <v>10</v>
      </c>
      <c r="V22" s="57">
        <v>10</v>
      </c>
      <c r="W22" s="57">
        <v>10</v>
      </c>
      <c r="X22" s="57">
        <v>10</v>
      </c>
      <c r="Y22" s="57">
        <v>7</v>
      </c>
      <c r="Z22" s="57">
        <v>10</v>
      </c>
      <c r="AA22" s="57">
        <v>10</v>
      </c>
      <c r="AB22" s="57">
        <v>7</v>
      </c>
      <c r="AC22" s="38">
        <f t="shared" si="0"/>
        <v>93</v>
      </c>
      <c r="AD22" s="59">
        <f t="shared" si="1"/>
        <v>93</v>
      </c>
      <c r="AE22" s="60">
        <f t="shared" si="2"/>
        <v>46.5</v>
      </c>
      <c r="AF22" s="139">
        <v>16</v>
      </c>
      <c r="AG22" s="59">
        <f t="shared" si="3"/>
        <v>53.33</v>
      </c>
      <c r="AH22" s="60">
        <f t="shared" si="4"/>
        <v>10.67</v>
      </c>
      <c r="AI22" s="62">
        <f t="shared" si="5"/>
        <v>79.97</v>
      </c>
      <c r="AJ22" s="63">
        <f t="shared" si="8"/>
        <v>87</v>
      </c>
      <c r="AK22" s="2"/>
      <c r="AL22" s="68" t="s">
        <v>36</v>
      </c>
      <c r="AM22" s="76">
        <f>_xlfn.STDEV.S(AF12:AF52)</f>
        <v>5.1484999059970198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12">
        <f t="shared" si="6"/>
        <v>53.333333333333336</v>
      </c>
    </row>
    <row r="23" spans="1:58" ht="18" customHeight="1" thickBot="1">
      <c r="A23" s="134">
        <v>12</v>
      </c>
      <c r="B23" s="206" t="s">
        <v>113</v>
      </c>
      <c r="C23" s="207"/>
      <c r="D23" s="64"/>
      <c r="E23" s="65"/>
      <c r="F23" s="56">
        <v>5</v>
      </c>
      <c r="G23" s="56">
        <v>6</v>
      </c>
      <c r="H23" s="56">
        <v>7</v>
      </c>
      <c r="I23" s="56">
        <v>6</v>
      </c>
      <c r="J23" s="56">
        <v>7</v>
      </c>
      <c r="K23" s="56">
        <v>7</v>
      </c>
      <c r="L23" s="56">
        <v>7</v>
      </c>
      <c r="M23" s="56">
        <v>5</v>
      </c>
      <c r="N23" s="56">
        <v>6</v>
      </c>
      <c r="O23" s="56">
        <v>5</v>
      </c>
      <c r="P23" s="56">
        <v>62</v>
      </c>
      <c r="Q23" s="59">
        <f t="shared" si="7"/>
        <v>62</v>
      </c>
      <c r="R23" s="60">
        <f t="shared" si="9"/>
        <v>18.600000000000001</v>
      </c>
      <c r="S23" s="61">
        <v>6</v>
      </c>
      <c r="T23" s="57">
        <v>5</v>
      </c>
      <c r="U23" s="57">
        <v>8</v>
      </c>
      <c r="V23" s="57">
        <v>8</v>
      </c>
      <c r="W23" s="57">
        <v>9</v>
      </c>
      <c r="X23" s="57">
        <v>10</v>
      </c>
      <c r="Y23" s="57">
        <v>10</v>
      </c>
      <c r="Z23" s="57">
        <v>10</v>
      </c>
      <c r="AA23" s="57">
        <v>9</v>
      </c>
      <c r="AB23" s="57">
        <v>7</v>
      </c>
      <c r="AC23" s="38">
        <f t="shared" si="0"/>
        <v>82</v>
      </c>
      <c r="AD23" s="59">
        <f t="shared" si="1"/>
        <v>82</v>
      </c>
      <c r="AE23" s="60">
        <f t="shared" si="2"/>
        <v>41</v>
      </c>
      <c r="AF23" s="139">
        <v>21</v>
      </c>
      <c r="AG23" s="59">
        <f t="shared" si="3"/>
        <v>70</v>
      </c>
      <c r="AH23" s="60">
        <f t="shared" si="4"/>
        <v>14</v>
      </c>
      <c r="AI23" s="62">
        <f t="shared" si="5"/>
        <v>73.599999999999994</v>
      </c>
      <c r="AJ23" s="63">
        <f t="shared" si="8"/>
        <v>83</v>
      </c>
      <c r="AK23" s="2"/>
      <c r="AL23" s="71" t="s">
        <v>37</v>
      </c>
      <c r="AM23" s="72">
        <f>AM20/AM11</f>
        <v>0.6808333333333334</v>
      </c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2">
        <f t="shared" si="6"/>
        <v>70</v>
      </c>
    </row>
    <row r="24" spans="1:58" ht="18" customHeight="1" thickBot="1">
      <c r="A24" s="134">
        <v>13</v>
      </c>
      <c r="B24" s="206" t="s">
        <v>114</v>
      </c>
      <c r="C24" s="207"/>
      <c r="D24" s="64"/>
      <c r="E24" s="65"/>
      <c r="F24" s="56">
        <v>6</v>
      </c>
      <c r="G24" s="56">
        <v>7</v>
      </c>
      <c r="H24" s="56">
        <v>7</v>
      </c>
      <c r="I24" s="56">
        <v>6</v>
      </c>
      <c r="J24" s="56">
        <v>7</v>
      </c>
      <c r="K24" s="56">
        <v>8</v>
      </c>
      <c r="L24" s="56">
        <v>9</v>
      </c>
      <c r="M24" s="56">
        <v>5</v>
      </c>
      <c r="N24" s="56">
        <v>5</v>
      </c>
      <c r="O24" s="56">
        <v>9</v>
      </c>
      <c r="P24" s="56">
        <v>72</v>
      </c>
      <c r="Q24" s="59">
        <f t="shared" si="7"/>
        <v>72</v>
      </c>
      <c r="R24" s="60">
        <f t="shared" si="9"/>
        <v>21.6</v>
      </c>
      <c r="S24" s="61">
        <v>9</v>
      </c>
      <c r="T24" s="57">
        <v>5</v>
      </c>
      <c r="U24" s="57">
        <v>8</v>
      </c>
      <c r="V24" s="57">
        <v>8</v>
      </c>
      <c r="W24" s="57">
        <v>10</v>
      </c>
      <c r="X24" s="57">
        <v>10</v>
      </c>
      <c r="Y24" s="57">
        <v>7</v>
      </c>
      <c r="Z24" s="57">
        <v>7</v>
      </c>
      <c r="AA24" s="57">
        <v>9</v>
      </c>
      <c r="AB24" s="57">
        <v>7</v>
      </c>
      <c r="AC24" s="38">
        <f t="shared" si="0"/>
        <v>80</v>
      </c>
      <c r="AD24" s="59">
        <f t="shared" si="1"/>
        <v>80</v>
      </c>
      <c r="AE24" s="60">
        <f t="shared" si="2"/>
        <v>40</v>
      </c>
      <c r="AF24" s="139">
        <v>24</v>
      </c>
      <c r="AG24" s="59">
        <f t="shared" si="3"/>
        <v>80</v>
      </c>
      <c r="AH24" s="60">
        <f t="shared" si="4"/>
        <v>16</v>
      </c>
      <c r="AI24" s="62">
        <f t="shared" si="5"/>
        <v>77.599999999999994</v>
      </c>
      <c r="AJ24" s="63">
        <f t="shared" si="8"/>
        <v>86</v>
      </c>
      <c r="AK24" s="2"/>
      <c r="AL24" s="4"/>
      <c r="AM24" s="2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2">
        <f t="shared" si="6"/>
        <v>80</v>
      </c>
    </row>
    <row r="25" spans="1:58" ht="18" customHeight="1" thickBot="1">
      <c r="A25" s="134">
        <v>14</v>
      </c>
      <c r="B25" s="206" t="s">
        <v>115</v>
      </c>
      <c r="C25" s="207"/>
      <c r="D25" s="64"/>
      <c r="E25" s="65"/>
      <c r="F25" s="56">
        <v>6</v>
      </c>
      <c r="G25" s="56">
        <v>6</v>
      </c>
      <c r="H25" s="56">
        <v>6</v>
      </c>
      <c r="I25" s="56">
        <v>6</v>
      </c>
      <c r="J25" s="56">
        <v>6</v>
      </c>
      <c r="K25" s="56">
        <v>6</v>
      </c>
      <c r="L25" s="56">
        <v>6</v>
      </c>
      <c r="M25" s="56">
        <v>5</v>
      </c>
      <c r="N25" s="56">
        <v>5</v>
      </c>
      <c r="O25" s="56">
        <v>9</v>
      </c>
      <c r="P25" s="56">
        <v>64</v>
      </c>
      <c r="Q25" s="59">
        <f t="shared" si="7"/>
        <v>64</v>
      </c>
      <c r="R25" s="60">
        <f t="shared" si="9"/>
        <v>19.2</v>
      </c>
      <c r="S25" s="61">
        <v>6</v>
      </c>
      <c r="T25" s="57">
        <v>8</v>
      </c>
      <c r="U25" s="57">
        <v>10</v>
      </c>
      <c r="V25" s="57">
        <v>10</v>
      </c>
      <c r="W25" s="57">
        <v>10</v>
      </c>
      <c r="X25" s="57">
        <v>6</v>
      </c>
      <c r="Y25" s="57">
        <v>6</v>
      </c>
      <c r="Z25" s="57">
        <v>6</v>
      </c>
      <c r="AA25" s="57">
        <v>6</v>
      </c>
      <c r="AB25" s="57">
        <v>8</v>
      </c>
      <c r="AC25" s="38">
        <f t="shared" si="0"/>
        <v>76</v>
      </c>
      <c r="AD25" s="59">
        <f t="shared" si="1"/>
        <v>76</v>
      </c>
      <c r="AE25" s="60">
        <f t="shared" si="2"/>
        <v>38</v>
      </c>
      <c r="AF25" s="139">
        <v>17</v>
      </c>
      <c r="AG25" s="59">
        <f t="shared" si="3"/>
        <v>56.67</v>
      </c>
      <c r="AH25" s="60">
        <f t="shared" si="4"/>
        <v>11.33</v>
      </c>
      <c r="AI25" s="62">
        <f t="shared" si="5"/>
        <v>68.53</v>
      </c>
      <c r="AJ25" s="63">
        <f t="shared" si="8"/>
        <v>80</v>
      </c>
      <c r="AK25" s="2"/>
      <c r="AL25" s="73" t="s">
        <v>38</v>
      </c>
      <c r="AM25" s="77" t="s">
        <v>33</v>
      </c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2">
        <f t="shared" si="6"/>
        <v>56.666666666666664</v>
      </c>
    </row>
    <row r="26" spans="1:58" ht="18" customHeight="1" thickBot="1">
      <c r="A26" s="134">
        <v>15</v>
      </c>
      <c r="B26" s="206" t="s">
        <v>116</v>
      </c>
      <c r="C26" s="207"/>
      <c r="D26" s="64"/>
      <c r="E26" s="65"/>
      <c r="F26" s="56">
        <v>5</v>
      </c>
      <c r="G26" s="56">
        <v>5</v>
      </c>
      <c r="H26" s="56">
        <v>5</v>
      </c>
      <c r="I26" s="56">
        <v>6</v>
      </c>
      <c r="J26" s="56">
        <v>7</v>
      </c>
      <c r="K26" s="56">
        <v>8</v>
      </c>
      <c r="L26" s="56">
        <v>9</v>
      </c>
      <c r="M26" s="56">
        <v>5</v>
      </c>
      <c r="N26" s="56">
        <v>5</v>
      </c>
      <c r="O26" s="56">
        <v>9</v>
      </c>
      <c r="P26" s="56">
        <v>67</v>
      </c>
      <c r="Q26" s="59">
        <f t="shared" si="7"/>
        <v>67</v>
      </c>
      <c r="R26" s="60">
        <f t="shared" si="9"/>
        <v>20.100000000000001</v>
      </c>
      <c r="S26" s="61">
        <v>6</v>
      </c>
      <c r="T26" s="57">
        <v>5</v>
      </c>
      <c r="U26" s="57">
        <v>6</v>
      </c>
      <c r="V26" s="57">
        <v>5</v>
      </c>
      <c r="W26" s="57">
        <v>6</v>
      </c>
      <c r="X26" s="57">
        <v>6</v>
      </c>
      <c r="Y26" s="57">
        <v>7</v>
      </c>
      <c r="Z26" s="57">
        <v>7</v>
      </c>
      <c r="AA26" s="57">
        <v>9</v>
      </c>
      <c r="AB26" s="57">
        <v>7</v>
      </c>
      <c r="AC26" s="38">
        <f t="shared" si="0"/>
        <v>64</v>
      </c>
      <c r="AD26" s="59">
        <f t="shared" si="1"/>
        <v>64</v>
      </c>
      <c r="AE26" s="60">
        <f t="shared" si="2"/>
        <v>32</v>
      </c>
      <c r="AF26" s="139">
        <v>25</v>
      </c>
      <c r="AG26" s="59">
        <f t="shared" si="3"/>
        <v>83.33</v>
      </c>
      <c r="AH26" s="60">
        <f t="shared" si="4"/>
        <v>16.670000000000002</v>
      </c>
      <c r="AI26" s="62">
        <f t="shared" si="5"/>
        <v>68.77</v>
      </c>
      <c r="AJ26" s="63">
        <f t="shared" si="8"/>
        <v>80</v>
      </c>
      <c r="AK26" s="2"/>
      <c r="AL26" s="66" t="s">
        <v>39</v>
      </c>
      <c r="AM26" s="78">
        <f>MAX(AF12:AF52)</f>
        <v>28</v>
      </c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2"/>
      <c r="BF26" s="12">
        <f t="shared" si="6"/>
        <v>83.333333333333343</v>
      </c>
    </row>
    <row r="27" spans="1:58" ht="18" customHeight="1" thickBot="1">
      <c r="A27" s="134">
        <v>16</v>
      </c>
      <c r="B27" s="206" t="s">
        <v>117</v>
      </c>
      <c r="C27" s="207"/>
      <c r="D27" s="64"/>
      <c r="E27" s="65"/>
      <c r="F27" s="56">
        <v>5</v>
      </c>
      <c r="G27" s="56">
        <v>5</v>
      </c>
      <c r="H27" s="56">
        <v>5</v>
      </c>
      <c r="I27" s="56">
        <v>6</v>
      </c>
      <c r="J27" s="56">
        <v>6</v>
      </c>
      <c r="K27" s="56">
        <v>6</v>
      </c>
      <c r="L27" s="56">
        <v>6</v>
      </c>
      <c r="M27" s="56">
        <v>5</v>
      </c>
      <c r="N27" s="56">
        <v>6</v>
      </c>
      <c r="O27" s="56">
        <v>6</v>
      </c>
      <c r="P27" s="56">
        <v>57</v>
      </c>
      <c r="Q27" s="59">
        <f t="shared" si="7"/>
        <v>57</v>
      </c>
      <c r="R27" s="60">
        <f t="shared" si="9"/>
        <v>17.100000000000001</v>
      </c>
      <c r="S27" s="61">
        <v>6</v>
      </c>
      <c r="T27" s="57">
        <v>5</v>
      </c>
      <c r="U27" s="57">
        <v>6</v>
      </c>
      <c r="V27" s="57">
        <v>6</v>
      </c>
      <c r="W27" s="57">
        <v>9</v>
      </c>
      <c r="X27" s="57">
        <v>10</v>
      </c>
      <c r="Y27" s="57">
        <v>10</v>
      </c>
      <c r="Z27" s="57">
        <v>10</v>
      </c>
      <c r="AA27" s="57">
        <v>10</v>
      </c>
      <c r="AB27" s="57">
        <v>7</v>
      </c>
      <c r="AC27" s="38">
        <f t="shared" si="0"/>
        <v>79</v>
      </c>
      <c r="AD27" s="59">
        <f t="shared" si="1"/>
        <v>79</v>
      </c>
      <c r="AE27" s="60">
        <f t="shared" si="2"/>
        <v>39.5</v>
      </c>
      <c r="AF27" s="139">
        <v>15</v>
      </c>
      <c r="AG27" s="59">
        <f t="shared" si="3"/>
        <v>50</v>
      </c>
      <c r="AH27" s="60">
        <f t="shared" si="4"/>
        <v>10</v>
      </c>
      <c r="AI27" s="62">
        <f t="shared" si="5"/>
        <v>66.599999999999994</v>
      </c>
      <c r="AJ27" s="63">
        <f t="shared" si="8"/>
        <v>79</v>
      </c>
      <c r="AK27" s="2"/>
      <c r="AL27" s="68" t="s">
        <v>40</v>
      </c>
      <c r="AM27" s="79">
        <f>MIN(AF12:AF76)</f>
        <v>8</v>
      </c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2"/>
      <c r="BF27" s="12">
        <f t="shared" si="6"/>
        <v>50</v>
      </c>
    </row>
    <row r="28" spans="1:58" ht="18" customHeight="1" thickBot="1">
      <c r="A28" s="134">
        <v>17</v>
      </c>
      <c r="B28" s="206" t="s">
        <v>118</v>
      </c>
      <c r="C28" s="207"/>
      <c r="D28" s="64"/>
      <c r="E28" s="65"/>
      <c r="F28" s="56">
        <v>6</v>
      </c>
      <c r="G28" s="56">
        <v>6</v>
      </c>
      <c r="H28" s="56">
        <v>6</v>
      </c>
      <c r="I28" s="56">
        <v>6</v>
      </c>
      <c r="J28" s="56">
        <v>7</v>
      </c>
      <c r="K28" s="56">
        <v>8</v>
      </c>
      <c r="L28" s="56">
        <v>9</v>
      </c>
      <c r="M28" s="56">
        <v>10</v>
      </c>
      <c r="N28" s="56">
        <v>5</v>
      </c>
      <c r="O28" s="56">
        <v>9</v>
      </c>
      <c r="P28" s="56">
        <v>70</v>
      </c>
      <c r="Q28" s="59">
        <f t="shared" si="7"/>
        <v>70</v>
      </c>
      <c r="R28" s="60">
        <f t="shared" si="9"/>
        <v>21</v>
      </c>
      <c r="S28" s="61">
        <v>8</v>
      </c>
      <c r="T28" s="57">
        <v>7</v>
      </c>
      <c r="U28" s="57">
        <v>10</v>
      </c>
      <c r="V28" s="57">
        <v>6</v>
      </c>
      <c r="W28" s="57">
        <v>10</v>
      </c>
      <c r="X28" s="57">
        <v>10</v>
      </c>
      <c r="Y28" s="57">
        <v>8</v>
      </c>
      <c r="Z28" s="57">
        <v>7</v>
      </c>
      <c r="AA28" s="57">
        <v>9</v>
      </c>
      <c r="AB28" s="57">
        <v>7</v>
      </c>
      <c r="AC28" s="38">
        <f t="shared" si="0"/>
        <v>82</v>
      </c>
      <c r="AD28" s="59">
        <f t="shared" si="1"/>
        <v>82</v>
      </c>
      <c r="AE28" s="60">
        <f t="shared" si="2"/>
        <v>41</v>
      </c>
      <c r="AF28" s="139">
        <v>21</v>
      </c>
      <c r="AG28" s="59">
        <f t="shared" si="3"/>
        <v>70</v>
      </c>
      <c r="AH28" s="60">
        <f t="shared" si="4"/>
        <v>14</v>
      </c>
      <c r="AI28" s="62">
        <f t="shared" si="5"/>
        <v>76</v>
      </c>
      <c r="AJ28" s="63">
        <f t="shared" si="8"/>
        <v>85</v>
      </c>
      <c r="AK28" s="2"/>
      <c r="AL28" s="71" t="s">
        <v>41</v>
      </c>
      <c r="AM28" s="80">
        <f>SUM(AF12:AF52)</f>
        <v>817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2"/>
      <c r="BF28" s="12">
        <f t="shared" si="6"/>
        <v>70</v>
      </c>
    </row>
    <row r="29" spans="1:58" ht="18" customHeight="1" thickBot="1">
      <c r="A29" s="134">
        <v>18</v>
      </c>
      <c r="B29" s="206" t="s">
        <v>119</v>
      </c>
      <c r="C29" s="207"/>
      <c r="D29" s="64"/>
      <c r="E29" s="65"/>
      <c r="F29" s="56">
        <v>9</v>
      </c>
      <c r="G29" s="56">
        <v>8</v>
      </c>
      <c r="H29" s="56">
        <v>8</v>
      </c>
      <c r="I29" s="56">
        <v>8</v>
      </c>
      <c r="J29" s="56">
        <v>8</v>
      </c>
      <c r="K29" s="56">
        <v>8</v>
      </c>
      <c r="L29" s="56">
        <v>9</v>
      </c>
      <c r="M29" s="56">
        <v>5</v>
      </c>
      <c r="N29" s="56">
        <v>5</v>
      </c>
      <c r="O29" s="56">
        <v>9</v>
      </c>
      <c r="P29" s="56">
        <v>80</v>
      </c>
      <c r="Q29" s="59">
        <f t="shared" si="7"/>
        <v>80</v>
      </c>
      <c r="R29" s="60">
        <f t="shared" si="9"/>
        <v>24</v>
      </c>
      <c r="S29" s="61">
        <v>9</v>
      </c>
      <c r="T29" s="57">
        <v>10</v>
      </c>
      <c r="U29" s="57">
        <v>8</v>
      </c>
      <c r="V29" s="57">
        <v>10</v>
      </c>
      <c r="W29" s="57">
        <v>10</v>
      </c>
      <c r="X29" s="57">
        <v>10</v>
      </c>
      <c r="Y29" s="57">
        <v>7</v>
      </c>
      <c r="Z29" s="57">
        <v>8</v>
      </c>
      <c r="AA29" s="57">
        <v>8</v>
      </c>
      <c r="AB29" s="57">
        <v>7</v>
      </c>
      <c r="AC29" s="38">
        <f t="shared" si="0"/>
        <v>87</v>
      </c>
      <c r="AD29" s="59">
        <f t="shared" si="1"/>
        <v>87</v>
      </c>
      <c r="AE29" s="60">
        <f t="shared" si="2"/>
        <v>43.5</v>
      </c>
      <c r="AF29" s="139">
        <v>12</v>
      </c>
      <c r="AG29" s="59">
        <f t="shared" si="3"/>
        <v>40</v>
      </c>
      <c r="AH29" s="60">
        <f t="shared" si="4"/>
        <v>8</v>
      </c>
      <c r="AI29" s="62">
        <f t="shared" si="5"/>
        <v>75.5</v>
      </c>
      <c r="AJ29" s="63">
        <f t="shared" si="8"/>
        <v>84</v>
      </c>
      <c r="AK29" s="2"/>
      <c r="AL29" s="4"/>
      <c r="AM29" s="2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2"/>
      <c r="BF29" s="12">
        <f t="shared" si="6"/>
        <v>40</v>
      </c>
    </row>
    <row r="30" spans="1:58" ht="18" customHeight="1" thickBot="1">
      <c r="A30" s="134">
        <v>19</v>
      </c>
      <c r="B30" s="206" t="s">
        <v>120</v>
      </c>
      <c r="C30" s="207"/>
      <c r="D30" s="64"/>
      <c r="E30" s="65"/>
      <c r="F30" s="56">
        <v>5</v>
      </c>
      <c r="G30" s="56">
        <v>6</v>
      </c>
      <c r="H30" s="56">
        <v>6</v>
      </c>
      <c r="I30" s="56">
        <v>6</v>
      </c>
      <c r="J30" s="56">
        <v>7</v>
      </c>
      <c r="K30" s="56">
        <v>6</v>
      </c>
      <c r="L30" s="56">
        <v>6</v>
      </c>
      <c r="M30" s="56">
        <v>5</v>
      </c>
      <c r="N30" s="56">
        <v>5</v>
      </c>
      <c r="O30" s="56">
        <v>9</v>
      </c>
      <c r="P30" s="56">
        <v>62</v>
      </c>
      <c r="Q30" s="59">
        <f t="shared" si="7"/>
        <v>62</v>
      </c>
      <c r="R30" s="60">
        <f t="shared" si="9"/>
        <v>18.600000000000001</v>
      </c>
      <c r="S30" s="61">
        <v>8</v>
      </c>
      <c r="T30" s="57">
        <v>5</v>
      </c>
      <c r="U30" s="57">
        <v>8</v>
      </c>
      <c r="V30" s="57">
        <v>10</v>
      </c>
      <c r="W30" s="57">
        <v>10</v>
      </c>
      <c r="X30" s="57">
        <v>10</v>
      </c>
      <c r="Y30" s="57">
        <v>7</v>
      </c>
      <c r="Z30" s="57">
        <v>7</v>
      </c>
      <c r="AA30" s="57">
        <v>9</v>
      </c>
      <c r="AB30" s="57">
        <v>7</v>
      </c>
      <c r="AC30" s="38">
        <f t="shared" si="0"/>
        <v>81</v>
      </c>
      <c r="AD30" s="59">
        <f t="shared" si="1"/>
        <v>81</v>
      </c>
      <c r="AE30" s="60">
        <f t="shared" si="2"/>
        <v>40.5</v>
      </c>
      <c r="AF30" s="139">
        <v>17</v>
      </c>
      <c r="AG30" s="59">
        <f t="shared" si="3"/>
        <v>56.67</v>
      </c>
      <c r="AH30" s="60">
        <f t="shared" si="4"/>
        <v>11.33</v>
      </c>
      <c r="AI30" s="62">
        <f t="shared" si="5"/>
        <v>70.430000000000007</v>
      </c>
      <c r="AJ30" s="63">
        <f t="shared" si="8"/>
        <v>81</v>
      </c>
      <c r="AK30" s="2"/>
      <c r="AL30" s="16"/>
      <c r="AM30" s="2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2"/>
      <c r="BF30" s="12">
        <f t="shared" si="6"/>
        <v>56.666666666666664</v>
      </c>
    </row>
    <row r="31" spans="1:58" ht="18" customHeight="1" thickBot="1">
      <c r="A31" s="134">
        <v>20</v>
      </c>
      <c r="B31" s="246" t="s">
        <v>121</v>
      </c>
      <c r="C31" s="247"/>
      <c r="D31" s="64"/>
      <c r="E31" s="65"/>
      <c r="F31" s="56">
        <v>6</v>
      </c>
      <c r="G31" s="56">
        <v>6</v>
      </c>
      <c r="H31" s="56">
        <v>6</v>
      </c>
      <c r="I31" s="56">
        <v>6</v>
      </c>
      <c r="J31" s="56">
        <v>5</v>
      </c>
      <c r="K31" s="56">
        <v>6</v>
      </c>
      <c r="L31" s="56">
        <v>5</v>
      </c>
      <c r="M31" s="56">
        <v>5</v>
      </c>
      <c r="N31" s="56">
        <v>4</v>
      </c>
      <c r="O31" s="56">
        <v>9</v>
      </c>
      <c r="P31" s="56">
        <v>57</v>
      </c>
      <c r="Q31" s="59">
        <f t="shared" si="7"/>
        <v>57</v>
      </c>
      <c r="R31" s="60">
        <f t="shared" si="9"/>
        <v>17.100000000000001</v>
      </c>
      <c r="S31" s="61">
        <v>6</v>
      </c>
      <c r="T31" s="57">
        <v>10</v>
      </c>
      <c r="U31" s="57">
        <v>10</v>
      </c>
      <c r="V31" s="57">
        <v>10</v>
      </c>
      <c r="W31" s="57">
        <v>9</v>
      </c>
      <c r="X31" s="57">
        <v>10</v>
      </c>
      <c r="Y31" s="57">
        <v>10</v>
      </c>
      <c r="Z31" s="57">
        <v>10</v>
      </c>
      <c r="AA31" s="57">
        <v>9</v>
      </c>
      <c r="AB31" s="57">
        <v>7</v>
      </c>
      <c r="AC31" s="38">
        <f t="shared" si="0"/>
        <v>91</v>
      </c>
      <c r="AD31" s="59">
        <f t="shared" si="1"/>
        <v>91</v>
      </c>
      <c r="AE31" s="60">
        <f t="shared" si="2"/>
        <v>45.5</v>
      </c>
      <c r="AF31" s="139">
        <v>8</v>
      </c>
      <c r="AG31" s="59">
        <f t="shared" si="3"/>
        <v>26.67</v>
      </c>
      <c r="AH31" s="60">
        <f t="shared" si="4"/>
        <v>5.33</v>
      </c>
      <c r="AI31" s="62">
        <f t="shared" si="5"/>
        <v>67.930000000000007</v>
      </c>
      <c r="AJ31" s="63">
        <f t="shared" si="8"/>
        <v>79</v>
      </c>
      <c r="AK31" s="2"/>
      <c r="AL31" s="4"/>
      <c r="AM31" s="2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2"/>
      <c r="BF31" s="12">
        <f t="shared" si="6"/>
        <v>26.666666666666668</v>
      </c>
    </row>
    <row r="32" spans="1:58" ht="18" customHeight="1" thickBot="1">
      <c r="A32" s="17"/>
      <c r="B32" s="123" t="s">
        <v>11</v>
      </c>
      <c r="C32" s="85"/>
      <c r="D32" s="85"/>
      <c r="E32" s="85"/>
      <c r="F32" s="81"/>
      <c r="G32" s="82"/>
      <c r="H32" s="82"/>
      <c r="I32" s="82"/>
      <c r="J32" s="82"/>
      <c r="K32" s="82"/>
      <c r="L32" s="82"/>
      <c r="M32" s="82"/>
      <c r="N32" s="82"/>
      <c r="O32" s="83"/>
      <c r="P32" s="84"/>
      <c r="Q32" s="84"/>
      <c r="R32" s="137"/>
      <c r="S32" s="137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52"/>
      <c r="AJ32" s="53"/>
    </row>
    <row r="33" spans="1:58" ht="18" customHeight="1" thickBot="1">
      <c r="A33" s="133">
        <v>1</v>
      </c>
      <c r="B33" s="248" t="s">
        <v>122</v>
      </c>
      <c r="C33" s="249"/>
      <c r="D33" s="14"/>
      <c r="E33" s="15"/>
      <c r="F33" s="56">
        <v>9</v>
      </c>
      <c r="G33" s="56">
        <v>9</v>
      </c>
      <c r="H33" s="57">
        <v>8</v>
      </c>
      <c r="I33" s="57">
        <v>8</v>
      </c>
      <c r="J33" s="57">
        <v>7</v>
      </c>
      <c r="K33" s="56">
        <v>6</v>
      </c>
      <c r="L33" s="56">
        <v>8</v>
      </c>
      <c r="M33" s="57">
        <v>9</v>
      </c>
      <c r="N33" s="57">
        <v>9</v>
      </c>
      <c r="O33" s="57">
        <v>7</v>
      </c>
      <c r="P33" s="58">
        <v>80</v>
      </c>
      <c r="Q33" s="59">
        <f t="shared" ref="Q33:Q52" si="10">IF(ISERROR(IF($P33="","",ROUND(($P33/$P$10)*$Q$10,2))),"",IF($P33="","",ROUND(($P33/$P$10)*$Q$10,2)))</f>
        <v>80</v>
      </c>
      <c r="R33" s="60">
        <f t="shared" ref="R33:R52" si="11">IF($Q33="","",ROUND($Q33*$R$10,2))</f>
        <v>24</v>
      </c>
      <c r="S33" s="61">
        <v>8</v>
      </c>
      <c r="T33" s="57">
        <v>8</v>
      </c>
      <c r="U33" s="57">
        <v>9</v>
      </c>
      <c r="V33" s="57">
        <v>9</v>
      </c>
      <c r="W33" s="57">
        <v>8</v>
      </c>
      <c r="X33" s="57">
        <v>6</v>
      </c>
      <c r="Y33" s="57">
        <v>6</v>
      </c>
      <c r="Z33" s="57">
        <v>6</v>
      </c>
      <c r="AA33" s="57">
        <v>6</v>
      </c>
      <c r="AB33" s="57">
        <v>6</v>
      </c>
      <c r="AC33" s="38">
        <f t="shared" ref="AC33:AC52" si="12">IF(COUNT($S33:$AB33)=0,"",SUM($S33:$AB33))</f>
        <v>72</v>
      </c>
      <c r="AD33" s="59">
        <f t="shared" ref="AD33:AD52" si="13">IF(ISERROR(IF($AC33="","",ROUND(($AC33/$AC$10)*$AD$10,2))),"",IF($AC33="","",ROUND(($AC33/$AC$10)*$AD$10,2)))</f>
        <v>72</v>
      </c>
      <c r="AE33" s="60">
        <f t="shared" ref="AE33:AE52" si="14">IF($AD33="","",ROUND($AD33*$AE$10,2))</f>
        <v>36</v>
      </c>
      <c r="AF33" s="139">
        <v>22</v>
      </c>
      <c r="AG33" s="59">
        <f t="shared" ref="AG33:AG52" si="15">IF(ISERROR(IF($AF33="","",ROUND(($AF33/$AF$10)*$AG$10,2))),"",IF($AF33="","",ROUND(($AF33/$AF$10)*$AG$10,2)))</f>
        <v>73.33</v>
      </c>
      <c r="AH33" s="60">
        <f t="shared" ref="AH33:AH52" si="16">IF($AG33="","",ROUND($AG33*$AH$10,2))</f>
        <v>14.67</v>
      </c>
      <c r="AI33" s="62">
        <f t="shared" ref="AI33:AI52" si="17">IF(ISERROR(IF($AF33="","",ROUND(SUM($R33,$AE33,$AH33),2))),"",IF($AF33="","",ROUND(SUM($R33,$AE33,$AH33),2)))</f>
        <v>74.67</v>
      </c>
      <c r="AJ33" s="63">
        <f t="shared" ref="AJ33:AJ52" si="18">IF(ISERROR(IF($AF33="","",VLOOKUP(AI33,TRANSMUTATION_TABLE,4,TRUE))),"",IF($AF33="","",VLOOKUP(AI33,TRANSMUTATION_TABLE,4,TRUE)))</f>
        <v>84</v>
      </c>
    </row>
    <row r="34" spans="1:58" ht="18" customHeight="1" thickBot="1">
      <c r="A34" s="134">
        <v>2</v>
      </c>
      <c r="B34" s="250" t="s">
        <v>123</v>
      </c>
      <c r="C34" s="251"/>
      <c r="D34" s="64"/>
      <c r="E34" s="65"/>
      <c r="F34" s="56">
        <v>9</v>
      </c>
      <c r="G34" s="56">
        <v>6</v>
      </c>
      <c r="H34" s="57">
        <v>6</v>
      </c>
      <c r="I34" s="57">
        <v>6</v>
      </c>
      <c r="J34" s="57">
        <v>6</v>
      </c>
      <c r="K34" s="56">
        <v>8</v>
      </c>
      <c r="L34" s="56">
        <v>9</v>
      </c>
      <c r="M34" s="57">
        <v>9</v>
      </c>
      <c r="N34" s="57">
        <v>10</v>
      </c>
      <c r="O34" s="57">
        <v>10</v>
      </c>
      <c r="P34" s="58">
        <v>79</v>
      </c>
      <c r="Q34" s="59">
        <f t="shared" si="10"/>
        <v>79</v>
      </c>
      <c r="R34" s="60">
        <f t="shared" si="11"/>
        <v>23.7</v>
      </c>
      <c r="S34" s="61">
        <v>8</v>
      </c>
      <c r="T34" s="57">
        <v>6</v>
      </c>
      <c r="U34" s="57">
        <v>10</v>
      </c>
      <c r="V34" s="57">
        <v>6</v>
      </c>
      <c r="W34" s="57">
        <v>9</v>
      </c>
      <c r="X34" s="57">
        <v>9</v>
      </c>
      <c r="Y34" s="57">
        <v>7</v>
      </c>
      <c r="Z34" s="57">
        <v>6</v>
      </c>
      <c r="AA34" s="57">
        <v>6</v>
      </c>
      <c r="AB34" s="57">
        <v>8</v>
      </c>
      <c r="AC34" s="38">
        <f t="shared" si="12"/>
        <v>75</v>
      </c>
      <c r="AD34" s="59">
        <f t="shared" si="13"/>
        <v>75</v>
      </c>
      <c r="AE34" s="60">
        <f t="shared" si="14"/>
        <v>37.5</v>
      </c>
      <c r="AF34" s="139">
        <v>24</v>
      </c>
      <c r="AG34" s="59">
        <f t="shared" si="15"/>
        <v>80</v>
      </c>
      <c r="AH34" s="60">
        <f t="shared" si="16"/>
        <v>16</v>
      </c>
      <c r="AI34" s="62">
        <f t="shared" si="17"/>
        <v>77.2</v>
      </c>
      <c r="AJ34" s="63">
        <f t="shared" si="18"/>
        <v>85</v>
      </c>
      <c r="AK34" s="2"/>
      <c r="AL34" s="4"/>
      <c r="AM34" s="2"/>
      <c r="AN34" s="3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12" t="e">
        <f>(#REF!/$AF$10)*100</f>
        <v>#REF!</v>
      </c>
    </row>
    <row r="35" spans="1:58" ht="18" customHeight="1" thickBot="1">
      <c r="A35" s="134">
        <v>3</v>
      </c>
      <c r="B35" s="250" t="s">
        <v>124</v>
      </c>
      <c r="C35" s="251"/>
      <c r="D35" s="64"/>
      <c r="E35" s="65"/>
      <c r="F35" s="56">
        <v>6</v>
      </c>
      <c r="G35" s="56">
        <v>6</v>
      </c>
      <c r="H35" s="57">
        <v>6</v>
      </c>
      <c r="I35" s="57">
        <v>6</v>
      </c>
      <c r="J35" s="57">
        <v>8</v>
      </c>
      <c r="K35" s="56">
        <v>8</v>
      </c>
      <c r="L35" s="56">
        <v>8</v>
      </c>
      <c r="M35" s="57">
        <v>8</v>
      </c>
      <c r="N35" s="57">
        <v>9</v>
      </c>
      <c r="O35" s="57">
        <v>10</v>
      </c>
      <c r="P35" s="58">
        <v>75</v>
      </c>
      <c r="Q35" s="59">
        <f t="shared" si="10"/>
        <v>75</v>
      </c>
      <c r="R35" s="60">
        <f t="shared" si="11"/>
        <v>22.5</v>
      </c>
      <c r="S35" s="61">
        <v>6</v>
      </c>
      <c r="T35" s="57">
        <v>10</v>
      </c>
      <c r="U35" s="57">
        <v>10</v>
      </c>
      <c r="V35" s="57">
        <v>5</v>
      </c>
      <c r="W35" s="57">
        <v>10</v>
      </c>
      <c r="X35" s="57">
        <v>9</v>
      </c>
      <c r="Y35" s="57">
        <v>7</v>
      </c>
      <c r="Z35" s="57">
        <v>6</v>
      </c>
      <c r="AA35" s="57">
        <v>8</v>
      </c>
      <c r="AB35" s="57">
        <v>10</v>
      </c>
      <c r="AC35" s="38">
        <f t="shared" si="12"/>
        <v>81</v>
      </c>
      <c r="AD35" s="59">
        <f t="shared" si="13"/>
        <v>81</v>
      </c>
      <c r="AE35" s="60">
        <f t="shared" si="14"/>
        <v>40.5</v>
      </c>
      <c r="AF35" s="139">
        <v>20</v>
      </c>
      <c r="AG35" s="59">
        <f t="shared" si="15"/>
        <v>66.67</v>
      </c>
      <c r="AH35" s="60">
        <f t="shared" si="16"/>
        <v>13.33</v>
      </c>
      <c r="AI35" s="62">
        <f t="shared" si="17"/>
        <v>76.33</v>
      </c>
      <c r="AJ35" s="63">
        <f t="shared" si="18"/>
        <v>85</v>
      </c>
      <c r="AK35" s="2"/>
      <c r="AL35" s="4"/>
      <c r="AM35" s="2"/>
      <c r="AN35" s="3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12" t="e">
        <f>(#REF!/$AF$10)*100</f>
        <v>#REF!</v>
      </c>
    </row>
    <row r="36" spans="1:58" ht="18" customHeight="1" thickBot="1">
      <c r="A36" s="134">
        <v>4</v>
      </c>
      <c r="B36" s="250" t="s">
        <v>125</v>
      </c>
      <c r="C36" s="251"/>
      <c r="D36" s="64"/>
      <c r="E36" s="65"/>
      <c r="F36" s="56">
        <v>10</v>
      </c>
      <c r="G36" s="56">
        <v>9</v>
      </c>
      <c r="H36" s="57">
        <v>8</v>
      </c>
      <c r="I36" s="57">
        <v>7</v>
      </c>
      <c r="J36" s="57">
        <v>8</v>
      </c>
      <c r="K36" s="56">
        <v>9</v>
      </c>
      <c r="L36" s="56">
        <v>8</v>
      </c>
      <c r="M36" s="57">
        <v>9</v>
      </c>
      <c r="N36" s="57">
        <v>8</v>
      </c>
      <c r="O36" s="57">
        <v>10</v>
      </c>
      <c r="P36" s="58">
        <v>86</v>
      </c>
      <c r="Q36" s="59">
        <f t="shared" si="10"/>
        <v>86</v>
      </c>
      <c r="R36" s="60">
        <f t="shared" si="11"/>
        <v>25.8</v>
      </c>
      <c r="S36" s="61">
        <v>6</v>
      </c>
      <c r="T36" s="57">
        <v>6</v>
      </c>
      <c r="U36" s="57">
        <v>5</v>
      </c>
      <c r="V36" s="57">
        <v>4</v>
      </c>
      <c r="W36" s="57">
        <v>10</v>
      </c>
      <c r="X36" s="57">
        <v>10</v>
      </c>
      <c r="Y36" s="57">
        <v>10</v>
      </c>
      <c r="Z36" s="57">
        <v>6</v>
      </c>
      <c r="AA36" s="57">
        <v>6</v>
      </c>
      <c r="AB36" s="57">
        <v>10</v>
      </c>
      <c r="AC36" s="38">
        <f t="shared" si="12"/>
        <v>73</v>
      </c>
      <c r="AD36" s="59">
        <f t="shared" si="13"/>
        <v>73</v>
      </c>
      <c r="AE36" s="60">
        <f t="shared" si="14"/>
        <v>36.5</v>
      </c>
      <c r="AF36" s="139">
        <v>25</v>
      </c>
      <c r="AG36" s="59">
        <f t="shared" si="15"/>
        <v>83.33</v>
      </c>
      <c r="AH36" s="60">
        <f t="shared" si="16"/>
        <v>16.670000000000002</v>
      </c>
      <c r="AI36" s="62">
        <f t="shared" si="17"/>
        <v>78.97</v>
      </c>
      <c r="AJ36" s="63">
        <f t="shared" si="18"/>
        <v>86</v>
      </c>
      <c r="AK36" s="2"/>
      <c r="AL36" s="4"/>
      <c r="AM36" s="2"/>
      <c r="AN36" s="3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12" t="e">
        <f>(#REF!/$AF$10)*100</f>
        <v>#REF!</v>
      </c>
    </row>
    <row r="37" spans="1:58" ht="18" customHeight="1" thickBot="1">
      <c r="A37" s="134">
        <v>5</v>
      </c>
      <c r="B37" s="250" t="s">
        <v>126</v>
      </c>
      <c r="C37" s="251"/>
      <c r="D37" s="64"/>
      <c r="E37" s="65"/>
      <c r="F37" s="56">
        <v>6</v>
      </c>
      <c r="G37" s="56">
        <v>9</v>
      </c>
      <c r="H37" s="57">
        <v>9</v>
      </c>
      <c r="I37" s="57">
        <v>8</v>
      </c>
      <c r="J37" s="57">
        <v>9</v>
      </c>
      <c r="K37" s="56">
        <v>9</v>
      </c>
      <c r="L37" s="56">
        <v>6</v>
      </c>
      <c r="M37" s="57">
        <v>8</v>
      </c>
      <c r="N37" s="57">
        <v>6</v>
      </c>
      <c r="O37" s="57">
        <v>6</v>
      </c>
      <c r="P37" s="58">
        <v>76</v>
      </c>
      <c r="Q37" s="59">
        <f t="shared" si="10"/>
        <v>76</v>
      </c>
      <c r="R37" s="60">
        <f t="shared" si="11"/>
        <v>22.8</v>
      </c>
      <c r="S37" s="61">
        <v>9</v>
      </c>
      <c r="T37" s="57">
        <v>7</v>
      </c>
      <c r="U37" s="57">
        <v>7</v>
      </c>
      <c r="V37" s="57">
        <v>10</v>
      </c>
      <c r="W37" s="57">
        <v>10</v>
      </c>
      <c r="X37" s="57">
        <v>7</v>
      </c>
      <c r="Y37" s="57">
        <v>7</v>
      </c>
      <c r="Z37" s="57">
        <v>10</v>
      </c>
      <c r="AA37" s="57">
        <v>10</v>
      </c>
      <c r="AB37" s="57">
        <v>10</v>
      </c>
      <c r="AC37" s="38">
        <f t="shared" si="12"/>
        <v>87</v>
      </c>
      <c r="AD37" s="59">
        <f t="shared" si="13"/>
        <v>87</v>
      </c>
      <c r="AE37" s="60">
        <f t="shared" si="14"/>
        <v>43.5</v>
      </c>
      <c r="AF37" s="139">
        <v>28</v>
      </c>
      <c r="AG37" s="59">
        <f t="shared" si="15"/>
        <v>93.33</v>
      </c>
      <c r="AH37" s="60">
        <f t="shared" si="16"/>
        <v>18.670000000000002</v>
      </c>
      <c r="AI37" s="62">
        <f t="shared" si="17"/>
        <v>84.97</v>
      </c>
      <c r="AJ37" s="63">
        <f t="shared" si="18"/>
        <v>90</v>
      </c>
      <c r="AK37" s="2"/>
      <c r="AL37" s="4"/>
      <c r="AM37" s="2"/>
      <c r="AN37" s="3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12" t="e">
        <f>(#REF!/$AF$10)*100</f>
        <v>#REF!</v>
      </c>
    </row>
    <row r="38" spans="1:58" ht="18" customHeight="1" thickBot="1">
      <c r="A38" s="134">
        <v>6</v>
      </c>
      <c r="B38" s="250" t="s">
        <v>127</v>
      </c>
      <c r="C38" s="251"/>
      <c r="D38" s="64"/>
      <c r="E38" s="65"/>
      <c r="F38" s="56">
        <v>10</v>
      </c>
      <c r="G38" s="56">
        <v>10</v>
      </c>
      <c r="H38" s="57">
        <v>9</v>
      </c>
      <c r="I38" s="57">
        <v>9</v>
      </c>
      <c r="J38" s="57">
        <v>8</v>
      </c>
      <c r="K38" s="56">
        <v>10</v>
      </c>
      <c r="L38" s="56">
        <v>10</v>
      </c>
      <c r="M38" s="57">
        <v>10</v>
      </c>
      <c r="N38" s="57">
        <v>10</v>
      </c>
      <c r="O38" s="57">
        <v>10</v>
      </c>
      <c r="P38" s="58">
        <v>96</v>
      </c>
      <c r="Q38" s="59">
        <f t="shared" si="10"/>
        <v>96</v>
      </c>
      <c r="R38" s="60">
        <f t="shared" si="11"/>
        <v>28.8</v>
      </c>
      <c r="S38" s="61">
        <v>6</v>
      </c>
      <c r="T38" s="57">
        <v>10</v>
      </c>
      <c r="U38" s="57">
        <v>10</v>
      </c>
      <c r="V38" s="57">
        <v>10</v>
      </c>
      <c r="W38" s="57">
        <v>6</v>
      </c>
      <c r="X38" s="57">
        <v>10</v>
      </c>
      <c r="Y38" s="57">
        <v>10</v>
      </c>
      <c r="Z38" s="57">
        <v>10</v>
      </c>
      <c r="AA38" s="57">
        <v>6</v>
      </c>
      <c r="AB38" s="57">
        <v>10</v>
      </c>
      <c r="AC38" s="38">
        <f t="shared" si="12"/>
        <v>88</v>
      </c>
      <c r="AD38" s="59">
        <f t="shared" si="13"/>
        <v>88</v>
      </c>
      <c r="AE38" s="60">
        <f t="shared" si="14"/>
        <v>44</v>
      </c>
      <c r="AF38" s="139">
        <v>17</v>
      </c>
      <c r="AG38" s="59">
        <f t="shared" si="15"/>
        <v>56.67</v>
      </c>
      <c r="AH38" s="60">
        <f t="shared" si="16"/>
        <v>11.33</v>
      </c>
      <c r="AI38" s="62">
        <f t="shared" si="17"/>
        <v>84.13</v>
      </c>
      <c r="AJ38" s="63">
        <f t="shared" si="18"/>
        <v>90</v>
      </c>
      <c r="AK38" s="2"/>
      <c r="AL38" s="4"/>
      <c r="AM38" s="2"/>
      <c r="AN38" s="3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12">
        <f t="shared" ref="BF38:BF54" si="19">(AF32/$AF$10)*100</f>
        <v>0</v>
      </c>
    </row>
    <row r="39" spans="1:58" ht="18" customHeight="1" thickBot="1">
      <c r="A39" s="134">
        <v>7</v>
      </c>
      <c r="B39" s="250" t="s">
        <v>128</v>
      </c>
      <c r="C39" s="251"/>
      <c r="D39" s="64"/>
      <c r="E39" s="65"/>
      <c r="F39" s="56">
        <v>8</v>
      </c>
      <c r="G39" s="56">
        <v>8</v>
      </c>
      <c r="H39" s="57">
        <v>6</v>
      </c>
      <c r="I39" s="57">
        <v>6</v>
      </c>
      <c r="J39" s="57">
        <v>7</v>
      </c>
      <c r="K39" s="56">
        <v>5</v>
      </c>
      <c r="L39" s="56">
        <v>6</v>
      </c>
      <c r="M39" s="57">
        <v>6</v>
      </c>
      <c r="N39" s="57">
        <v>6</v>
      </c>
      <c r="O39" s="57">
        <v>6</v>
      </c>
      <c r="P39" s="58">
        <v>64</v>
      </c>
      <c r="Q39" s="59">
        <f t="shared" si="10"/>
        <v>64</v>
      </c>
      <c r="R39" s="60">
        <f t="shared" si="11"/>
        <v>19.2</v>
      </c>
      <c r="S39" s="61">
        <v>7</v>
      </c>
      <c r="T39" s="57">
        <v>7</v>
      </c>
      <c r="U39" s="57">
        <v>8</v>
      </c>
      <c r="V39" s="57">
        <v>10</v>
      </c>
      <c r="W39" s="57">
        <v>10</v>
      </c>
      <c r="X39" s="57">
        <v>4</v>
      </c>
      <c r="Y39" s="57">
        <v>10</v>
      </c>
      <c r="Z39" s="57">
        <v>6</v>
      </c>
      <c r="AA39" s="57">
        <v>6</v>
      </c>
      <c r="AB39" s="57">
        <v>10</v>
      </c>
      <c r="AC39" s="38">
        <f t="shared" si="12"/>
        <v>78</v>
      </c>
      <c r="AD39" s="59">
        <f t="shared" si="13"/>
        <v>78</v>
      </c>
      <c r="AE39" s="60">
        <f t="shared" si="14"/>
        <v>39</v>
      </c>
      <c r="AF39" s="139">
        <v>25</v>
      </c>
      <c r="AG39" s="59">
        <f t="shared" si="15"/>
        <v>83.33</v>
      </c>
      <c r="AH39" s="60">
        <f t="shared" si="16"/>
        <v>16.670000000000002</v>
      </c>
      <c r="AI39" s="62">
        <f t="shared" si="17"/>
        <v>74.87</v>
      </c>
      <c r="AJ39" s="63">
        <f t="shared" si="18"/>
        <v>84</v>
      </c>
      <c r="AK39" s="2"/>
      <c r="AL39" s="4"/>
      <c r="AM39" s="2"/>
      <c r="AN39" s="3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12">
        <f t="shared" si="19"/>
        <v>73.333333333333329</v>
      </c>
    </row>
    <row r="40" spans="1:58" ht="18" customHeight="1" thickBot="1">
      <c r="A40" s="134">
        <v>10</v>
      </c>
      <c r="B40" s="250" t="s">
        <v>129</v>
      </c>
      <c r="C40" s="251"/>
      <c r="D40" s="64"/>
      <c r="E40" s="65"/>
      <c r="F40" s="56">
        <v>4</v>
      </c>
      <c r="G40" s="56">
        <v>8</v>
      </c>
      <c r="H40" s="57">
        <v>6</v>
      </c>
      <c r="I40" s="57">
        <v>6</v>
      </c>
      <c r="J40" s="57">
        <v>4</v>
      </c>
      <c r="K40" s="56">
        <v>5</v>
      </c>
      <c r="L40" s="56">
        <v>6</v>
      </c>
      <c r="M40" s="57">
        <v>5</v>
      </c>
      <c r="N40" s="57">
        <v>10</v>
      </c>
      <c r="O40" s="57">
        <v>10</v>
      </c>
      <c r="P40" s="58">
        <v>64</v>
      </c>
      <c r="Q40" s="59">
        <f t="shared" si="10"/>
        <v>64</v>
      </c>
      <c r="R40" s="60">
        <f t="shared" si="11"/>
        <v>19.2</v>
      </c>
      <c r="S40" s="61">
        <v>10</v>
      </c>
      <c r="T40" s="57">
        <v>10</v>
      </c>
      <c r="U40" s="57">
        <v>10</v>
      </c>
      <c r="V40" s="57">
        <v>8</v>
      </c>
      <c r="W40" s="57">
        <v>8</v>
      </c>
      <c r="X40" s="57">
        <v>5</v>
      </c>
      <c r="Y40" s="57">
        <v>8</v>
      </c>
      <c r="Z40" s="57">
        <v>6</v>
      </c>
      <c r="AA40" s="57">
        <v>10</v>
      </c>
      <c r="AB40" s="57">
        <v>10</v>
      </c>
      <c r="AC40" s="38">
        <f t="shared" si="12"/>
        <v>85</v>
      </c>
      <c r="AD40" s="59">
        <f t="shared" si="13"/>
        <v>85</v>
      </c>
      <c r="AE40" s="60">
        <f t="shared" si="14"/>
        <v>42.5</v>
      </c>
      <c r="AF40" s="139">
        <v>10</v>
      </c>
      <c r="AG40" s="59">
        <f t="shared" si="15"/>
        <v>33.33</v>
      </c>
      <c r="AH40" s="60">
        <f t="shared" si="16"/>
        <v>6.67</v>
      </c>
      <c r="AI40" s="62">
        <f t="shared" si="17"/>
        <v>68.37</v>
      </c>
      <c r="AJ40" s="63">
        <f t="shared" si="18"/>
        <v>80</v>
      </c>
      <c r="AK40" s="2"/>
      <c r="AL40" s="4"/>
      <c r="AM40" s="2"/>
      <c r="AN40" s="3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12">
        <f t="shared" si="19"/>
        <v>80</v>
      </c>
    </row>
    <row r="41" spans="1:58" ht="18" customHeight="1" thickBot="1">
      <c r="A41" s="134">
        <v>9</v>
      </c>
      <c r="B41" s="250" t="s">
        <v>130</v>
      </c>
      <c r="C41" s="251"/>
      <c r="D41" s="64"/>
      <c r="E41" s="65"/>
      <c r="F41" s="56">
        <v>8</v>
      </c>
      <c r="G41" s="56">
        <v>8</v>
      </c>
      <c r="H41" s="57">
        <v>7</v>
      </c>
      <c r="I41" s="57">
        <v>9</v>
      </c>
      <c r="J41" s="57">
        <v>9</v>
      </c>
      <c r="K41" s="56">
        <v>9</v>
      </c>
      <c r="L41" s="56">
        <v>9</v>
      </c>
      <c r="M41" s="57">
        <v>8</v>
      </c>
      <c r="N41" s="57">
        <v>9</v>
      </c>
      <c r="O41" s="57">
        <v>9</v>
      </c>
      <c r="P41" s="58">
        <v>85</v>
      </c>
      <c r="Q41" s="59">
        <f t="shared" si="10"/>
        <v>85</v>
      </c>
      <c r="R41" s="60">
        <f t="shared" si="11"/>
        <v>25.5</v>
      </c>
      <c r="S41" s="61">
        <v>6</v>
      </c>
      <c r="T41" s="57">
        <v>6</v>
      </c>
      <c r="U41" s="57">
        <v>7</v>
      </c>
      <c r="V41" s="57">
        <v>8</v>
      </c>
      <c r="W41" s="57">
        <v>10</v>
      </c>
      <c r="X41" s="57">
        <v>9</v>
      </c>
      <c r="Y41" s="57">
        <v>10</v>
      </c>
      <c r="Z41" s="57">
        <v>8</v>
      </c>
      <c r="AA41" s="57">
        <v>10</v>
      </c>
      <c r="AB41" s="57">
        <v>7</v>
      </c>
      <c r="AC41" s="38">
        <f t="shared" si="12"/>
        <v>81</v>
      </c>
      <c r="AD41" s="59">
        <f t="shared" si="13"/>
        <v>81</v>
      </c>
      <c r="AE41" s="60">
        <f t="shared" si="14"/>
        <v>40.5</v>
      </c>
      <c r="AF41" s="139">
        <v>27</v>
      </c>
      <c r="AG41" s="59">
        <f t="shared" si="15"/>
        <v>90</v>
      </c>
      <c r="AH41" s="60">
        <f t="shared" si="16"/>
        <v>18</v>
      </c>
      <c r="AI41" s="62">
        <f t="shared" si="17"/>
        <v>84</v>
      </c>
      <c r="AJ41" s="63">
        <f t="shared" si="18"/>
        <v>90</v>
      </c>
      <c r="AK41" s="2"/>
      <c r="AL41" s="4"/>
      <c r="AM41" s="2"/>
      <c r="AN41" s="3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12">
        <f t="shared" si="19"/>
        <v>66.666666666666657</v>
      </c>
    </row>
    <row r="42" spans="1:58" ht="17.25" thickBot="1">
      <c r="A42" s="134">
        <v>10</v>
      </c>
      <c r="B42" s="250" t="s">
        <v>131</v>
      </c>
      <c r="C42" s="251"/>
      <c r="D42" s="64"/>
      <c r="E42" s="65"/>
      <c r="F42" s="56">
        <v>9</v>
      </c>
      <c r="G42" s="56">
        <v>9</v>
      </c>
      <c r="H42" s="57">
        <v>9</v>
      </c>
      <c r="I42" s="57">
        <v>8</v>
      </c>
      <c r="J42" s="57">
        <v>5</v>
      </c>
      <c r="K42" s="56">
        <v>6</v>
      </c>
      <c r="L42" s="56">
        <v>6</v>
      </c>
      <c r="M42" s="57">
        <v>4</v>
      </c>
      <c r="N42" s="57">
        <v>6</v>
      </c>
      <c r="O42" s="57">
        <v>6</v>
      </c>
      <c r="P42" s="58">
        <v>68</v>
      </c>
      <c r="Q42" s="59">
        <f t="shared" si="10"/>
        <v>68</v>
      </c>
      <c r="R42" s="60">
        <f t="shared" si="11"/>
        <v>20.399999999999999</v>
      </c>
      <c r="S42" s="61">
        <v>9</v>
      </c>
      <c r="T42" s="57">
        <v>8</v>
      </c>
      <c r="U42" s="57">
        <v>6</v>
      </c>
      <c r="V42" s="57">
        <v>6</v>
      </c>
      <c r="W42" s="57">
        <v>10</v>
      </c>
      <c r="X42" s="57">
        <v>10</v>
      </c>
      <c r="Y42" s="57">
        <v>10</v>
      </c>
      <c r="Z42" s="57">
        <v>10</v>
      </c>
      <c r="AA42" s="57">
        <v>8</v>
      </c>
      <c r="AB42" s="57">
        <v>10</v>
      </c>
      <c r="AC42" s="38">
        <f t="shared" si="12"/>
        <v>87</v>
      </c>
      <c r="AD42" s="59">
        <f t="shared" si="13"/>
        <v>87</v>
      </c>
      <c r="AE42" s="60">
        <f t="shared" si="14"/>
        <v>43.5</v>
      </c>
      <c r="AF42" s="139">
        <v>22</v>
      </c>
      <c r="AG42" s="59">
        <f t="shared" si="15"/>
        <v>73.33</v>
      </c>
      <c r="AH42" s="60">
        <f t="shared" si="16"/>
        <v>14.67</v>
      </c>
      <c r="AI42" s="62">
        <f t="shared" si="17"/>
        <v>78.569999999999993</v>
      </c>
      <c r="AJ42" s="63">
        <f t="shared" si="18"/>
        <v>86</v>
      </c>
      <c r="AK42" s="2"/>
      <c r="AL42" s="4"/>
      <c r="AM42" s="2"/>
      <c r="AN42" s="3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12">
        <f t="shared" si="19"/>
        <v>83.333333333333343</v>
      </c>
    </row>
    <row r="43" spans="1:58" ht="18" customHeight="1" thickBot="1">
      <c r="A43" s="134">
        <v>11</v>
      </c>
      <c r="B43" s="250" t="s">
        <v>132</v>
      </c>
      <c r="C43" s="251"/>
      <c r="D43" s="64"/>
      <c r="E43" s="65"/>
      <c r="F43" s="56">
        <v>8</v>
      </c>
      <c r="G43" s="56">
        <v>8</v>
      </c>
      <c r="H43" s="57">
        <v>6</v>
      </c>
      <c r="I43" s="57">
        <v>6</v>
      </c>
      <c r="J43" s="57">
        <v>6</v>
      </c>
      <c r="K43" s="56">
        <v>7</v>
      </c>
      <c r="L43" s="56">
        <v>7</v>
      </c>
      <c r="M43" s="57">
        <v>8</v>
      </c>
      <c r="N43" s="57">
        <v>9</v>
      </c>
      <c r="O43" s="57">
        <v>9</v>
      </c>
      <c r="P43" s="58">
        <v>74</v>
      </c>
      <c r="Q43" s="59">
        <f t="shared" si="10"/>
        <v>74</v>
      </c>
      <c r="R43" s="60">
        <f t="shared" si="11"/>
        <v>22.2</v>
      </c>
      <c r="S43" s="61">
        <v>6</v>
      </c>
      <c r="T43" s="57">
        <v>7</v>
      </c>
      <c r="U43" s="57">
        <v>10</v>
      </c>
      <c r="V43" s="57">
        <v>10</v>
      </c>
      <c r="W43" s="57">
        <v>10</v>
      </c>
      <c r="X43" s="57">
        <v>10</v>
      </c>
      <c r="Y43" s="57">
        <v>7</v>
      </c>
      <c r="Z43" s="57">
        <v>6</v>
      </c>
      <c r="AA43" s="57">
        <v>5</v>
      </c>
      <c r="AB43" s="57">
        <v>10</v>
      </c>
      <c r="AC43" s="38">
        <f t="shared" si="12"/>
        <v>81</v>
      </c>
      <c r="AD43" s="59">
        <f t="shared" si="13"/>
        <v>81</v>
      </c>
      <c r="AE43" s="60">
        <f t="shared" si="14"/>
        <v>40.5</v>
      </c>
      <c r="AF43" s="139">
        <v>23</v>
      </c>
      <c r="AG43" s="59">
        <f t="shared" si="15"/>
        <v>76.67</v>
      </c>
      <c r="AH43" s="60">
        <f t="shared" si="16"/>
        <v>15.33</v>
      </c>
      <c r="AI43" s="62">
        <f t="shared" si="17"/>
        <v>78.03</v>
      </c>
      <c r="AJ43" s="63">
        <f t="shared" si="18"/>
        <v>86</v>
      </c>
      <c r="AK43" s="2"/>
      <c r="AL43" s="4"/>
      <c r="AM43" s="2"/>
      <c r="AN43" s="3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12">
        <f t="shared" si="19"/>
        <v>93.333333333333329</v>
      </c>
    </row>
    <row r="44" spans="1:58" ht="18" customHeight="1" thickBot="1">
      <c r="A44" s="134">
        <v>12</v>
      </c>
      <c r="B44" s="250" t="s">
        <v>133</v>
      </c>
      <c r="C44" s="251"/>
      <c r="D44" s="64"/>
      <c r="E44" s="65"/>
      <c r="F44" s="56">
        <v>7</v>
      </c>
      <c r="G44" s="56">
        <v>7</v>
      </c>
      <c r="H44" s="57">
        <v>8</v>
      </c>
      <c r="I44" s="57">
        <v>6</v>
      </c>
      <c r="J44" s="57">
        <v>7</v>
      </c>
      <c r="K44" s="56">
        <v>6</v>
      </c>
      <c r="L44" s="56">
        <v>8</v>
      </c>
      <c r="M44" s="57">
        <v>9</v>
      </c>
      <c r="N44" s="57">
        <v>9</v>
      </c>
      <c r="O44" s="57">
        <v>9</v>
      </c>
      <c r="P44" s="58">
        <v>76</v>
      </c>
      <c r="Q44" s="59">
        <f t="shared" si="10"/>
        <v>76</v>
      </c>
      <c r="R44" s="60">
        <f t="shared" si="11"/>
        <v>22.8</v>
      </c>
      <c r="S44" s="61">
        <v>9</v>
      </c>
      <c r="T44" s="57">
        <v>7</v>
      </c>
      <c r="U44" s="57">
        <v>10</v>
      </c>
      <c r="V44" s="57">
        <v>10</v>
      </c>
      <c r="W44" s="57">
        <v>8</v>
      </c>
      <c r="X44" s="57">
        <v>6</v>
      </c>
      <c r="Y44" s="57">
        <v>10</v>
      </c>
      <c r="Z44" s="57">
        <v>10</v>
      </c>
      <c r="AA44" s="57">
        <v>6</v>
      </c>
      <c r="AB44" s="57">
        <v>10</v>
      </c>
      <c r="AC44" s="38">
        <f t="shared" si="12"/>
        <v>86</v>
      </c>
      <c r="AD44" s="59">
        <f t="shared" si="13"/>
        <v>86</v>
      </c>
      <c r="AE44" s="60">
        <f t="shared" si="14"/>
        <v>43</v>
      </c>
      <c r="AF44" s="139">
        <v>15</v>
      </c>
      <c r="AG44" s="59">
        <f t="shared" si="15"/>
        <v>50</v>
      </c>
      <c r="AH44" s="60">
        <f t="shared" si="16"/>
        <v>10</v>
      </c>
      <c r="AI44" s="62">
        <f t="shared" si="17"/>
        <v>75.8</v>
      </c>
      <c r="AJ44" s="63">
        <f t="shared" si="18"/>
        <v>84</v>
      </c>
      <c r="AK44" s="2"/>
      <c r="AL44" s="4"/>
      <c r="AM44" s="2"/>
      <c r="AN44" s="3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12">
        <f t="shared" si="19"/>
        <v>56.666666666666664</v>
      </c>
    </row>
    <row r="45" spans="1:58" ht="18" customHeight="1" thickBot="1">
      <c r="A45" s="134">
        <v>13</v>
      </c>
      <c r="B45" s="250" t="s">
        <v>134</v>
      </c>
      <c r="C45" s="251"/>
      <c r="D45" s="64"/>
      <c r="E45" s="65"/>
      <c r="F45" s="56">
        <v>9</v>
      </c>
      <c r="G45" s="56">
        <v>8</v>
      </c>
      <c r="H45" s="57">
        <v>6</v>
      </c>
      <c r="I45" s="57">
        <v>6</v>
      </c>
      <c r="J45" s="57">
        <v>6</v>
      </c>
      <c r="K45" s="56">
        <v>6</v>
      </c>
      <c r="L45" s="56">
        <v>5</v>
      </c>
      <c r="M45" s="57">
        <v>5</v>
      </c>
      <c r="N45" s="57">
        <v>10</v>
      </c>
      <c r="O45" s="57">
        <v>10</v>
      </c>
      <c r="P45" s="58">
        <v>71</v>
      </c>
      <c r="Q45" s="59">
        <f t="shared" si="10"/>
        <v>71</v>
      </c>
      <c r="R45" s="60">
        <f t="shared" si="11"/>
        <v>21.3</v>
      </c>
      <c r="S45" s="61">
        <v>6</v>
      </c>
      <c r="T45" s="57">
        <v>7</v>
      </c>
      <c r="U45" s="57">
        <v>8</v>
      </c>
      <c r="V45" s="57">
        <v>6</v>
      </c>
      <c r="W45" s="57">
        <v>7</v>
      </c>
      <c r="X45" s="57">
        <v>8</v>
      </c>
      <c r="Y45" s="57">
        <v>6</v>
      </c>
      <c r="Z45" s="57">
        <v>7</v>
      </c>
      <c r="AA45" s="57">
        <v>10</v>
      </c>
      <c r="AB45" s="57">
        <v>10</v>
      </c>
      <c r="AC45" s="38">
        <f t="shared" si="12"/>
        <v>75</v>
      </c>
      <c r="AD45" s="59">
        <f t="shared" si="13"/>
        <v>75</v>
      </c>
      <c r="AE45" s="60">
        <f t="shared" si="14"/>
        <v>37.5</v>
      </c>
      <c r="AF45" s="139">
        <v>28</v>
      </c>
      <c r="AG45" s="59">
        <f t="shared" si="15"/>
        <v>93.33</v>
      </c>
      <c r="AH45" s="60">
        <f t="shared" si="16"/>
        <v>18.670000000000002</v>
      </c>
      <c r="AI45" s="62">
        <f t="shared" si="17"/>
        <v>77.47</v>
      </c>
      <c r="AJ45" s="63">
        <f t="shared" si="18"/>
        <v>85</v>
      </c>
      <c r="AK45" s="2"/>
      <c r="AL45" s="4"/>
      <c r="AM45" s="2"/>
      <c r="AN45" s="3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12">
        <f t="shared" si="19"/>
        <v>83.333333333333343</v>
      </c>
    </row>
    <row r="46" spans="1:58" ht="18" customHeight="1" thickBot="1">
      <c r="A46" s="134">
        <v>14</v>
      </c>
      <c r="B46" s="250" t="s">
        <v>135</v>
      </c>
      <c r="C46" s="251"/>
      <c r="D46" s="64"/>
      <c r="E46" s="65"/>
      <c r="F46" s="56">
        <v>9</v>
      </c>
      <c r="G46" s="56">
        <v>9</v>
      </c>
      <c r="H46" s="57">
        <v>8</v>
      </c>
      <c r="I46" s="57">
        <v>8</v>
      </c>
      <c r="J46" s="57">
        <v>6</v>
      </c>
      <c r="K46" s="56">
        <v>6</v>
      </c>
      <c r="L46" s="56">
        <v>6</v>
      </c>
      <c r="M46" s="57">
        <v>8</v>
      </c>
      <c r="N46" s="57">
        <v>10</v>
      </c>
      <c r="O46" s="57">
        <v>10</v>
      </c>
      <c r="P46" s="58">
        <v>80</v>
      </c>
      <c r="Q46" s="59">
        <f t="shared" si="10"/>
        <v>80</v>
      </c>
      <c r="R46" s="60">
        <f t="shared" si="11"/>
        <v>24</v>
      </c>
      <c r="S46" s="61">
        <v>10</v>
      </c>
      <c r="T46" s="57">
        <v>7</v>
      </c>
      <c r="U46" s="57">
        <v>6</v>
      </c>
      <c r="V46" s="57">
        <v>10</v>
      </c>
      <c r="W46" s="57">
        <v>10</v>
      </c>
      <c r="X46" s="57">
        <v>8</v>
      </c>
      <c r="Y46" s="57">
        <v>8</v>
      </c>
      <c r="Z46" s="57">
        <v>10</v>
      </c>
      <c r="AA46" s="57">
        <v>6</v>
      </c>
      <c r="AB46" s="57">
        <v>8</v>
      </c>
      <c r="AC46" s="38">
        <f t="shared" si="12"/>
        <v>83</v>
      </c>
      <c r="AD46" s="59">
        <f t="shared" si="13"/>
        <v>83</v>
      </c>
      <c r="AE46" s="60">
        <f t="shared" si="14"/>
        <v>41.5</v>
      </c>
      <c r="AF46" s="139">
        <v>28</v>
      </c>
      <c r="AG46" s="59">
        <f t="shared" si="15"/>
        <v>93.33</v>
      </c>
      <c r="AH46" s="60">
        <f t="shared" si="16"/>
        <v>18.670000000000002</v>
      </c>
      <c r="AI46" s="62">
        <f t="shared" si="17"/>
        <v>84.17</v>
      </c>
      <c r="AJ46" s="63">
        <f t="shared" si="18"/>
        <v>90</v>
      </c>
      <c r="AK46" s="2"/>
      <c r="AL46" s="4"/>
      <c r="AM46" s="2"/>
      <c r="AN46" s="3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12">
        <f t="shared" si="19"/>
        <v>33.333333333333329</v>
      </c>
    </row>
    <row r="47" spans="1:58" ht="18" customHeight="1" thickBot="1">
      <c r="A47" s="134">
        <v>15</v>
      </c>
      <c r="B47" s="250" t="s">
        <v>136</v>
      </c>
      <c r="C47" s="251"/>
      <c r="D47" s="64"/>
      <c r="E47" s="65"/>
      <c r="F47" s="56">
        <v>10</v>
      </c>
      <c r="G47" s="56">
        <v>10</v>
      </c>
      <c r="H47" s="57">
        <v>6</v>
      </c>
      <c r="I47" s="57">
        <v>6</v>
      </c>
      <c r="J47" s="57">
        <v>6</v>
      </c>
      <c r="K47" s="56">
        <v>7</v>
      </c>
      <c r="L47" s="56">
        <v>6</v>
      </c>
      <c r="M47" s="57">
        <v>8</v>
      </c>
      <c r="N47" s="57">
        <v>9</v>
      </c>
      <c r="O47" s="57">
        <v>7</v>
      </c>
      <c r="P47" s="58">
        <v>75</v>
      </c>
      <c r="Q47" s="59">
        <f t="shared" si="10"/>
        <v>75</v>
      </c>
      <c r="R47" s="60">
        <f t="shared" si="11"/>
        <v>22.5</v>
      </c>
      <c r="S47" s="61">
        <v>6</v>
      </c>
      <c r="T47" s="57">
        <v>6</v>
      </c>
      <c r="U47" s="57">
        <v>10</v>
      </c>
      <c r="V47" s="57">
        <v>10</v>
      </c>
      <c r="W47" s="57">
        <v>10</v>
      </c>
      <c r="X47" s="57">
        <v>6</v>
      </c>
      <c r="Y47" s="57">
        <v>7</v>
      </c>
      <c r="Z47" s="57">
        <v>9</v>
      </c>
      <c r="AA47" s="57">
        <v>9</v>
      </c>
      <c r="AB47" s="57">
        <v>8</v>
      </c>
      <c r="AC47" s="38">
        <f t="shared" si="12"/>
        <v>81</v>
      </c>
      <c r="AD47" s="59">
        <f t="shared" si="13"/>
        <v>81</v>
      </c>
      <c r="AE47" s="60">
        <f t="shared" si="14"/>
        <v>40.5</v>
      </c>
      <c r="AF47" s="139">
        <v>26</v>
      </c>
      <c r="AG47" s="59">
        <f t="shared" si="15"/>
        <v>86.67</v>
      </c>
      <c r="AH47" s="60">
        <f t="shared" si="16"/>
        <v>17.329999999999998</v>
      </c>
      <c r="AI47" s="62">
        <f t="shared" si="17"/>
        <v>80.33</v>
      </c>
      <c r="AJ47" s="63">
        <f t="shared" si="18"/>
        <v>87</v>
      </c>
      <c r="AK47" s="2"/>
      <c r="AL47" s="4"/>
      <c r="AM47" s="2"/>
      <c r="AN47" s="3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12">
        <f t="shared" si="19"/>
        <v>90</v>
      </c>
    </row>
    <row r="48" spans="1:58" ht="18" customHeight="1" thickBot="1">
      <c r="A48" s="134">
        <v>16</v>
      </c>
      <c r="B48" s="250" t="s">
        <v>137</v>
      </c>
      <c r="C48" s="251"/>
      <c r="D48" s="64"/>
      <c r="E48" s="65"/>
      <c r="F48" s="56">
        <v>10</v>
      </c>
      <c r="G48" s="56">
        <v>9</v>
      </c>
      <c r="H48" s="57">
        <v>8</v>
      </c>
      <c r="I48" s="57">
        <v>6</v>
      </c>
      <c r="J48" s="57">
        <v>6</v>
      </c>
      <c r="K48" s="56">
        <v>6</v>
      </c>
      <c r="L48" s="56">
        <v>10</v>
      </c>
      <c r="M48" s="57">
        <v>7</v>
      </c>
      <c r="N48" s="57">
        <v>7</v>
      </c>
      <c r="O48" s="57">
        <v>7</v>
      </c>
      <c r="P48" s="58">
        <v>76</v>
      </c>
      <c r="Q48" s="59">
        <f t="shared" si="10"/>
        <v>76</v>
      </c>
      <c r="R48" s="60">
        <f t="shared" si="11"/>
        <v>22.8</v>
      </c>
      <c r="S48" s="61">
        <v>9</v>
      </c>
      <c r="T48" s="57">
        <v>8</v>
      </c>
      <c r="U48" s="57">
        <v>8</v>
      </c>
      <c r="V48" s="57">
        <v>8</v>
      </c>
      <c r="W48" s="57">
        <v>6</v>
      </c>
      <c r="X48" s="57">
        <v>10</v>
      </c>
      <c r="Y48" s="57">
        <v>8</v>
      </c>
      <c r="Z48" s="57">
        <v>10</v>
      </c>
      <c r="AA48" s="57">
        <v>6</v>
      </c>
      <c r="AB48" s="57">
        <v>6</v>
      </c>
      <c r="AC48" s="38">
        <f t="shared" si="12"/>
        <v>79</v>
      </c>
      <c r="AD48" s="59">
        <f t="shared" si="13"/>
        <v>79</v>
      </c>
      <c r="AE48" s="60">
        <f t="shared" si="14"/>
        <v>39.5</v>
      </c>
      <c r="AF48" s="139">
        <v>21</v>
      </c>
      <c r="AG48" s="59">
        <f t="shared" si="15"/>
        <v>70</v>
      </c>
      <c r="AH48" s="60">
        <f t="shared" si="16"/>
        <v>14</v>
      </c>
      <c r="AI48" s="62">
        <f t="shared" si="17"/>
        <v>76.3</v>
      </c>
      <c r="AJ48" s="63">
        <f t="shared" si="18"/>
        <v>85</v>
      </c>
      <c r="AK48" s="2"/>
      <c r="AL48" s="4"/>
      <c r="AM48" s="2"/>
      <c r="AN48" s="3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12">
        <f t="shared" si="19"/>
        <v>73.333333333333329</v>
      </c>
    </row>
    <row r="49" spans="1:58" ht="18" customHeight="1" thickBot="1">
      <c r="A49" s="134">
        <v>17</v>
      </c>
      <c r="B49" s="250" t="s">
        <v>138</v>
      </c>
      <c r="C49" s="251"/>
      <c r="D49" s="64"/>
      <c r="E49" s="65"/>
      <c r="F49" s="56">
        <v>6</v>
      </c>
      <c r="G49" s="56">
        <v>6</v>
      </c>
      <c r="H49" s="57">
        <v>8</v>
      </c>
      <c r="I49" s="57">
        <v>6</v>
      </c>
      <c r="J49" s="57">
        <v>6</v>
      </c>
      <c r="K49" s="56">
        <v>8</v>
      </c>
      <c r="L49" s="56">
        <v>9</v>
      </c>
      <c r="M49" s="57">
        <v>9</v>
      </c>
      <c r="N49" s="57">
        <v>7</v>
      </c>
      <c r="O49" s="57">
        <v>7</v>
      </c>
      <c r="P49" s="58">
        <v>72</v>
      </c>
      <c r="Q49" s="59">
        <f t="shared" si="10"/>
        <v>72</v>
      </c>
      <c r="R49" s="60">
        <f t="shared" si="11"/>
        <v>21.6</v>
      </c>
      <c r="S49" s="61">
        <v>6</v>
      </c>
      <c r="T49" s="57">
        <v>7</v>
      </c>
      <c r="U49" s="57">
        <v>10</v>
      </c>
      <c r="V49" s="57">
        <v>10</v>
      </c>
      <c r="W49" s="57">
        <v>6</v>
      </c>
      <c r="X49" s="57">
        <v>8</v>
      </c>
      <c r="Y49" s="57">
        <v>8</v>
      </c>
      <c r="Z49" s="57">
        <v>10</v>
      </c>
      <c r="AA49" s="57">
        <v>6</v>
      </c>
      <c r="AB49" s="57">
        <v>7</v>
      </c>
      <c r="AC49" s="38">
        <f t="shared" si="12"/>
        <v>78</v>
      </c>
      <c r="AD49" s="59">
        <f t="shared" si="13"/>
        <v>78</v>
      </c>
      <c r="AE49" s="60">
        <f t="shared" si="14"/>
        <v>39</v>
      </c>
      <c r="AF49" s="139">
        <v>24</v>
      </c>
      <c r="AG49" s="59">
        <f t="shared" si="15"/>
        <v>80</v>
      </c>
      <c r="AH49" s="60">
        <f t="shared" si="16"/>
        <v>16</v>
      </c>
      <c r="AI49" s="62">
        <f t="shared" si="17"/>
        <v>76.599999999999994</v>
      </c>
      <c r="AJ49" s="63">
        <f t="shared" si="18"/>
        <v>85</v>
      </c>
      <c r="AK49" s="2"/>
      <c r="AL49" s="4"/>
      <c r="AM49" s="2"/>
      <c r="AN49" s="3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12">
        <f t="shared" si="19"/>
        <v>76.666666666666671</v>
      </c>
    </row>
    <row r="50" spans="1:58" ht="18" customHeight="1" thickBot="1">
      <c r="A50" s="134">
        <v>18</v>
      </c>
      <c r="B50" s="250" t="s">
        <v>139</v>
      </c>
      <c r="C50" s="251"/>
      <c r="D50" s="64"/>
      <c r="E50" s="65"/>
      <c r="F50" s="56">
        <v>10</v>
      </c>
      <c r="G50" s="56">
        <v>10</v>
      </c>
      <c r="H50" s="57">
        <v>10</v>
      </c>
      <c r="I50" s="57">
        <v>10</v>
      </c>
      <c r="J50" s="57">
        <v>9</v>
      </c>
      <c r="K50" s="56">
        <v>8</v>
      </c>
      <c r="L50" s="56">
        <v>7</v>
      </c>
      <c r="M50" s="57">
        <v>9</v>
      </c>
      <c r="N50" s="57">
        <v>7</v>
      </c>
      <c r="O50" s="57">
        <v>8</v>
      </c>
      <c r="P50" s="58">
        <v>88</v>
      </c>
      <c r="Q50" s="59">
        <f t="shared" si="10"/>
        <v>88</v>
      </c>
      <c r="R50" s="60">
        <f t="shared" si="11"/>
        <v>26.4</v>
      </c>
      <c r="S50" s="61">
        <v>8</v>
      </c>
      <c r="T50" s="57">
        <v>10</v>
      </c>
      <c r="U50" s="57">
        <v>10</v>
      </c>
      <c r="V50" s="57">
        <v>7</v>
      </c>
      <c r="W50" s="57">
        <v>10</v>
      </c>
      <c r="X50" s="57">
        <v>9</v>
      </c>
      <c r="Y50" s="57">
        <v>6</v>
      </c>
      <c r="Z50" s="57">
        <v>10</v>
      </c>
      <c r="AA50" s="57">
        <v>6</v>
      </c>
      <c r="AB50" s="57">
        <v>6</v>
      </c>
      <c r="AC50" s="38">
        <f t="shared" si="12"/>
        <v>82</v>
      </c>
      <c r="AD50" s="59">
        <f t="shared" si="13"/>
        <v>82</v>
      </c>
      <c r="AE50" s="60">
        <f t="shared" si="14"/>
        <v>41</v>
      </c>
      <c r="AF50" s="139">
        <v>18</v>
      </c>
      <c r="AG50" s="59">
        <f t="shared" si="15"/>
        <v>60</v>
      </c>
      <c r="AH50" s="60">
        <f t="shared" si="16"/>
        <v>12</v>
      </c>
      <c r="AI50" s="62">
        <f t="shared" si="17"/>
        <v>79.400000000000006</v>
      </c>
      <c r="AJ50" s="63">
        <f t="shared" si="18"/>
        <v>87</v>
      </c>
      <c r="AK50" s="2"/>
      <c r="AL50" s="4"/>
      <c r="AM50" s="2"/>
      <c r="AN50" s="3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12">
        <f t="shared" si="19"/>
        <v>50</v>
      </c>
    </row>
    <row r="51" spans="1:58" ht="18" customHeight="1" thickBot="1">
      <c r="A51" s="135">
        <v>19</v>
      </c>
      <c r="B51" s="250" t="s">
        <v>140</v>
      </c>
      <c r="C51" s="251"/>
      <c r="D51" s="126"/>
      <c r="E51" s="127"/>
      <c r="F51" s="141">
        <v>9</v>
      </c>
      <c r="G51" s="141">
        <v>8</v>
      </c>
      <c r="H51" s="136">
        <v>7</v>
      </c>
      <c r="I51" s="136">
        <v>7</v>
      </c>
      <c r="J51" s="136">
        <v>7</v>
      </c>
      <c r="K51" s="141">
        <v>8</v>
      </c>
      <c r="L51" s="141">
        <v>8</v>
      </c>
      <c r="M51" s="136">
        <v>9</v>
      </c>
      <c r="N51" s="136">
        <v>7</v>
      </c>
      <c r="O51" s="136">
        <v>8</v>
      </c>
      <c r="P51" s="128">
        <v>78</v>
      </c>
      <c r="Q51" s="129">
        <f t="shared" si="10"/>
        <v>78</v>
      </c>
      <c r="R51" s="130">
        <f t="shared" si="11"/>
        <v>23.4</v>
      </c>
      <c r="S51" s="142">
        <v>10</v>
      </c>
      <c r="T51" s="136">
        <v>10</v>
      </c>
      <c r="U51" s="136">
        <v>8</v>
      </c>
      <c r="V51" s="136">
        <v>8</v>
      </c>
      <c r="W51" s="136">
        <v>10</v>
      </c>
      <c r="X51" s="136">
        <v>8</v>
      </c>
      <c r="Y51" s="136">
        <v>6</v>
      </c>
      <c r="Z51" s="136">
        <v>6</v>
      </c>
      <c r="AA51" s="136">
        <v>6</v>
      </c>
      <c r="AB51" s="136">
        <v>6</v>
      </c>
      <c r="AC51" s="140">
        <f t="shared" si="12"/>
        <v>78</v>
      </c>
      <c r="AD51" s="129">
        <f t="shared" si="13"/>
        <v>78</v>
      </c>
      <c r="AE51" s="130">
        <f t="shared" si="14"/>
        <v>39</v>
      </c>
      <c r="AF51" s="143">
        <v>24</v>
      </c>
      <c r="AG51" s="129">
        <f t="shared" si="15"/>
        <v>80</v>
      </c>
      <c r="AH51" s="130">
        <f t="shared" si="16"/>
        <v>16</v>
      </c>
      <c r="AI51" s="131">
        <f t="shared" si="17"/>
        <v>78.400000000000006</v>
      </c>
      <c r="AJ51" s="132">
        <f t="shared" si="18"/>
        <v>86</v>
      </c>
      <c r="AK51" s="2"/>
      <c r="AL51" s="4"/>
      <c r="AM51" s="2"/>
      <c r="AN51" s="3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12">
        <f t="shared" si="19"/>
        <v>93.333333333333329</v>
      </c>
    </row>
    <row r="52" spans="1:58" ht="18" customHeight="1" thickBot="1">
      <c r="A52" s="144">
        <v>20</v>
      </c>
      <c r="B52" s="252" t="s">
        <v>141</v>
      </c>
      <c r="C52" s="253"/>
      <c r="D52" s="145"/>
      <c r="E52" s="146"/>
      <c r="F52" s="147">
        <v>9</v>
      </c>
      <c r="G52" s="147">
        <v>9</v>
      </c>
      <c r="H52" s="148">
        <v>10</v>
      </c>
      <c r="I52" s="148">
        <v>9</v>
      </c>
      <c r="J52" s="148">
        <v>9</v>
      </c>
      <c r="K52" s="147">
        <v>9</v>
      </c>
      <c r="L52" s="147">
        <v>9</v>
      </c>
      <c r="M52" s="148">
        <v>9</v>
      </c>
      <c r="N52" s="148">
        <v>8</v>
      </c>
      <c r="O52" s="148">
        <v>8</v>
      </c>
      <c r="P52" s="149">
        <v>89</v>
      </c>
      <c r="Q52" s="150">
        <f t="shared" si="10"/>
        <v>89</v>
      </c>
      <c r="R52" s="151">
        <f t="shared" si="11"/>
        <v>26.7</v>
      </c>
      <c r="S52" s="152">
        <v>7</v>
      </c>
      <c r="T52" s="148">
        <v>7</v>
      </c>
      <c r="U52" s="148">
        <v>10</v>
      </c>
      <c r="V52" s="148">
        <v>10</v>
      </c>
      <c r="W52" s="148">
        <v>6</v>
      </c>
      <c r="X52" s="148">
        <v>7</v>
      </c>
      <c r="Y52" s="148">
        <v>6</v>
      </c>
      <c r="Z52" s="148">
        <v>6</v>
      </c>
      <c r="AA52" s="148">
        <v>6</v>
      </c>
      <c r="AB52" s="148">
        <v>6</v>
      </c>
      <c r="AC52" s="153">
        <f t="shared" si="12"/>
        <v>71</v>
      </c>
      <c r="AD52" s="150">
        <f t="shared" si="13"/>
        <v>71</v>
      </c>
      <c r="AE52" s="151">
        <f t="shared" si="14"/>
        <v>35.5</v>
      </c>
      <c r="AF52" s="154">
        <v>28</v>
      </c>
      <c r="AG52" s="150">
        <f t="shared" si="15"/>
        <v>93.33</v>
      </c>
      <c r="AH52" s="151">
        <f t="shared" si="16"/>
        <v>18.670000000000002</v>
      </c>
      <c r="AI52" s="155">
        <f t="shared" si="17"/>
        <v>80.87</v>
      </c>
      <c r="AJ52" s="156">
        <f t="shared" si="18"/>
        <v>88</v>
      </c>
      <c r="AK52" s="2"/>
      <c r="AL52" s="4"/>
      <c r="AM52" s="2"/>
      <c r="AN52" s="3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12">
        <f t="shared" si="19"/>
        <v>93.333333333333329</v>
      </c>
    </row>
    <row r="53" spans="1:58" ht="18" customHeight="1">
      <c r="AK53" s="2"/>
      <c r="AL53" s="4"/>
      <c r="AM53" s="2"/>
      <c r="AN53" s="3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12">
        <f t="shared" si="19"/>
        <v>86.666666666666671</v>
      </c>
    </row>
    <row r="54" spans="1:58" ht="18" customHeight="1">
      <c r="AK54" s="2"/>
      <c r="AL54" s="4"/>
      <c r="AM54" s="2"/>
      <c r="AN54" s="3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12">
        <f t="shared" si="19"/>
        <v>70</v>
      </c>
    </row>
    <row r="55" spans="1:58" ht="18" customHeight="1">
      <c r="A55" s="2"/>
      <c r="B55" s="4"/>
      <c r="C55" s="2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12"/>
    </row>
    <row r="56" spans="1:58" ht="18" customHeight="1">
      <c r="A56" s="2"/>
      <c r="B56" s="4"/>
      <c r="C56" s="2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12"/>
    </row>
    <row r="57" spans="1:58" ht="18" customHeight="1">
      <c r="AK57" s="2"/>
      <c r="AL57" s="4"/>
      <c r="AM57" s="2"/>
      <c r="AN57" s="3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12">
        <f>(AF51/$AF$10)*100</f>
        <v>80</v>
      </c>
    </row>
    <row r="58" spans="1:58" ht="18" customHeight="1">
      <c r="AK58" s="2"/>
      <c r="AL58" s="4"/>
      <c r="AM58" s="2"/>
      <c r="AN58" s="3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12">
        <f>(AF52/$AF$10)*100</f>
        <v>93.333333333333329</v>
      </c>
    </row>
    <row r="59" spans="1:58" ht="17.45" customHeight="1">
      <c r="AK59" s="2"/>
      <c r="AL59" s="2"/>
      <c r="AM59" s="2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2"/>
      <c r="BF59" s="2"/>
    </row>
  </sheetData>
  <mergeCells count="70">
    <mergeCell ref="B30:C30"/>
    <mergeCell ref="B31:C31"/>
    <mergeCell ref="B25:C25"/>
    <mergeCell ref="B26:C26"/>
    <mergeCell ref="B27:C27"/>
    <mergeCell ref="B28:C28"/>
    <mergeCell ref="B29:C29"/>
    <mergeCell ref="B20:C20"/>
    <mergeCell ref="B21:C21"/>
    <mergeCell ref="B22:C22"/>
    <mergeCell ref="B23:C23"/>
    <mergeCell ref="B24:C24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AG5:AI5"/>
    <mergeCell ref="A1:AJ2"/>
    <mergeCell ref="A3:AJ3"/>
    <mergeCell ref="C4:F4"/>
    <mergeCell ref="G4:J4"/>
    <mergeCell ref="L4:N4"/>
    <mergeCell ref="O4:R4"/>
    <mergeCell ref="T4:W4"/>
    <mergeCell ref="X4:AC4"/>
    <mergeCell ref="AC7:AF7"/>
    <mergeCell ref="B5:F5"/>
    <mergeCell ref="G5:R5"/>
    <mergeCell ref="T5:W5"/>
    <mergeCell ref="X5:AC5"/>
    <mergeCell ref="AD5:AF5"/>
    <mergeCell ref="AL13:AM13"/>
    <mergeCell ref="B14:C14"/>
    <mergeCell ref="B15:C15"/>
    <mergeCell ref="AG7:AJ7"/>
    <mergeCell ref="B8:E8"/>
    <mergeCell ref="F8:R8"/>
    <mergeCell ref="S8:AE8"/>
    <mergeCell ref="AF8:AH8"/>
    <mergeCell ref="AI9:AI10"/>
    <mergeCell ref="AJ9:AJ10"/>
    <mergeCell ref="B10:E10"/>
    <mergeCell ref="A7:E7"/>
    <mergeCell ref="F7:J7"/>
    <mergeCell ref="K7:P7"/>
    <mergeCell ref="Q7:R7"/>
    <mergeCell ref="S7:AB7"/>
    <mergeCell ref="B16:C16"/>
    <mergeCell ref="B19:C19"/>
    <mergeCell ref="B11:E11"/>
    <mergeCell ref="B12:C12"/>
    <mergeCell ref="B13:C13"/>
    <mergeCell ref="B17:C17"/>
    <mergeCell ref="B18:C18"/>
  </mergeCells>
  <dataValidations count="2">
    <dataValidation type="decimal" operator="lessThanOrEqual" allowBlank="1" showInputMessage="1" showErrorMessage="1" prompt="Encode learner's raw score." sqref="S12:AB31 S33:AB52 F33:O52 F12:P31" xr:uid="{BB4DD363-D661-46AE-B353-EC3C4CD531B7}">
      <formula1>F$10</formula1>
    </dataValidation>
    <dataValidation type="decimal" operator="lessThanOrEqual" allowBlank="1" showInputMessage="1" showErrorMessage="1" prompt="Encode learner's raw score" sqref="AF33:AF52 AF12:AF31" xr:uid="{4941CEDB-A3CC-4854-95D2-60B631D54221}">
      <formula1>$AF$10</formula1>
    </dataValidation>
  </dataValidations>
  <pageMargins left="0.70866141732283472" right="0.70866141732283472" top="0.74803149606299213" bottom="0.74803149606299213" header="0.31496062992125984" footer="0.31496062992125984"/>
  <pageSetup paperSize="14" scale="60" fitToHeight="0" orientation="landscape" r:id="rId1"/>
  <colBreaks count="1" manualBreakCount="1">
    <brk id="36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33"/>
    <pageSetUpPr fitToPage="1"/>
  </sheetPr>
  <dimension ref="A1:BF59"/>
  <sheetViews>
    <sheetView showGridLines="0" topLeftCell="A8" zoomScale="102" zoomScaleNormal="102" workbookViewId="0">
      <selection activeCell="X30" sqref="X30"/>
    </sheetView>
  </sheetViews>
  <sheetFormatPr defaultColWidth="14.42578125" defaultRowHeight="15" customHeight="1"/>
  <cols>
    <col min="1" max="1" width="4.140625" customWidth="1"/>
    <col min="2" max="2" width="28.7109375" customWidth="1"/>
    <col min="3" max="3" width="8.28515625" customWidth="1"/>
    <col min="4" max="4" width="2.5703125" hidden="1" customWidth="1"/>
    <col min="5" max="5" width="3.42578125" hidden="1" customWidth="1"/>
    <col min="6" max="15" width="4.42578125" customWidth="1"/>
    <col min="16" max="16" width="6.28515625" customWidth="1"/>
    <col min="17" max="17" width="8.5703125" customWidth="1"/>
    <col min="18" max="18" width="7.140625" customWidth="1"/>
    <col min="19" max="28" width="4.42578125" customWidth="1"/>
    <col min="29" max="29" width="6.28515625" customWidth="1"/>
    <col min="30" max="31" width="7.140625" customWidth="1"/>
    <col min="32" max="32" width="6.28515625" customWidth="1"/>
    <col min="33" max="34" width="7.140625" customWidth="1"/>
    <col min="35" max="36" width="10.28515625" customWidth="1"/>
    <col min="37" max="37" width="4.7109375" customWidth="1"/>
    <col min="38" max="38" width="24.7109375" customWidth="1"/>
    <col min="39" max="39" width="8.140625" customWidth="1"/>
    <col min="40" max="57" width="4.7109375" customWidth="1"/>
    <col min="58" max="58" width="4.7109375" hidden="1" customWidth="1"/>
  </cols>
  <sheetData>
    <row r="1" spans="1:58" ht="15" customHeight="1">
      <c r="A1" s="241" t="s">
        <v>12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"/>
      <c r="AL1" s="2"/>
      <c r="AM1" s="2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2"/>
      <c r="BF1" s="2"/>
    </row>
    <row r="2" spans="1:58" ht="15" customHeight="1">
      <c r="A2" s="233"/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"/>
      <c r="AL2" s="2"/>
      <c r="AM2" s="2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2"/>
      <c r="BF2" s="2"/>
    </row>
    <row r="3" spans="1:58" ht="15" customHeight="1">
      <c r="A3" s="242" t="s">
        <v>13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"/>
      <c r="AL3" s="2"/>
      <c r="AM3" s="2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2"/>
      <c r="BF3" s="2"/>
    </row>
    <row r="4" spans="1:58" ht="21" customHeight="1">
      <c r="A4" s="4"/>
      <c r="B4" s="5"/>
      <c r="C4" s="232" t="s">
        <v>0</v>
      </c>
      <c r="D4" s="233"/>
      <c r="E4" s="233"/>
      <c r="F4" s="233"/>
      <c r="G4" s="243" t="s">
        <v>93</v>
      </c>
      <c r="H4" s="235"/>
      <c r="I4" s="235"/>
      <c r="J4" s="236"/>
      <c r="K4" s="19"/>
      <c r="L4" s="244" t="s">
        <v>1</v>
      </c>
      <c r="M4" s="245"/>
      <c r="N4" s="245"/>
      <c r="O4" s="243" t="s">
        <v>95</v>
      </c>
      <c r="P4" s="235"/>
      <c r="Q4" s="235"/>
      <c r="R4" s="236"/>
      <c r="S4" s="20"/>
      <c r="T4" s="237" t="s">
        <v>2</v>
      </c>
      <c r="U4" s="233"/>
      <c r="V4" s="233"/>
      <c r="W4" s="233"/>
      <c r="X4" s="243" t="s">
        <v>94</v>
      </c>
      <c r="Y4" s="235"/>
      <c r="Z4" s="235"/>
      <c r="AA4" s="235"/>
      <c r="AB4" s="235"/>
      <c r="AC4" s="236"/>
      <c r="AD4" s="21"/>
      <c r="AE4" s="22"/>
      <c r="AF4" s="20"/>
      <c r="AG4" s="20"/>
      <c r="AH4" s="20"/>
      <c r="AI4" s="20"/>
      <c r="AJ4" s="6"/>
      <c r="AK4" s="6"/>
      <c r="AL4" s="6"/>
      <c r="AM4" s="6"/>
      <c r="AN4" s="6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2"/>
      <c r="BF4" s="2"/>
    </row>
    <row r="5" spans="1:58" ht="21.75" customHeight="1">
      <c r="A5" s="4"/>
      <c r="B5" s="232" t="s">
        <v>3</v>
      </c>
      <c r="C5" s="233"/>
      <c r="D5" s="233"/>
      <c r="E5" s="233"/>
      <c r="F5" s="233"/>
      <c r="G5" s="234" t="s">
        <v>70</v>
      </c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6"/>
      <c r="S5" s="19"/>
      <c r="T5" s="237" t="s">
        <v>4</v>
      </c>
      <c r="U5" s="233"/>
      <c r="V5" s="233"/>
      <c r="W5" s="233"/>
      <c r="X5" s="238">
        <v>136632</v>
      </c>
      <c r="Y5" s="235"/>
      <c r="Z5" s="235"/>
      <c r="AA5" s="235"/>
      <c r="AB5" s="235"/>
      <c r="AC5" s="236"/>
      <c r="AD5" s="239" t="s">
        <v>5</v>
      </c>
      <c r="AE5" s="233"/>
      <c r="AF5" s="240"/>
      <c r="AG5" s="234" t="s">
        <v>98</v>
      </c>
      <c r="AH5" s="235"/>
      <c r="AI5" s="236"/>
      <c r="AJ5" s="8"/>
      <c r="AK5" s="6"/>
      <c r="AL5" s="6"/>
      <c r="AM5" s="6"/>
      <c r="AN5" s="6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2"/>
      <c r="BF5" s="2"/>
    </row>
    <row r="6" spans="1:58" ht="13.5" customHeight="1" thickBo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7"/>
      <c r="R6" s="7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7"/>
      <c r="AE6" s="7"/>
      <c r="AF6" s="4"/>
      <c r="AG6" s="7"/>
      <c r="AH6" s="7"/>
      <c r="AI6" s="7"/>
      <c r="AJ6" s="9"/>
      <c r="AK6" s="2"/>
      <c r="AL6" s="2"/>
      <c r="AM6" s="2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2"/>
      <c r="BF6" s="2"/>
    </row>
    <row r="7" spans="1:58" ht="23.25" customHeight="1" thickBot="1">
      <c r="A7" s="228" t="s">
        <v>6</v>
      </c>
      <c r="B7" s="209"/>
      <c r="C7" s="209"/>
      <c r="D7" s="209"/>
      <c r="E7" s="210"/>
      <c r="F7" s="229" t="s">
        <v>7</v>
      </c>
      <c r="G7" s="209"/>
      <c r="H7" s="209"/>
      <c r="I7" s="209"/>
      <c r="J7" s="209"/>
      <c r="K7" s="215"/>
      <c r="L7" s="209"/>
      <c r="M7" s="209"/>
      <c r="N7" s="209"/>
      <c r="O7" s="209"/>
      <c r="P7" s="210"/>
      <c r="Q7" s="230" t="s">
        <v>8</v>
      </c>
      <c r="R7" s="209"/>
      <c r="S7" s="215"/>
      <c r="T7" s="209"/>
      <c r="U7" s="209"/>
      <c r="V7" s="209"/>
      <c r="W7" s="209"/>
      <c r="X7" s="209"/>
      <c r="Y7" s="209"/>
      <c r="Z7" s="209"/>
      <c r="AA7" s="209"/>
      <c r="AB7" s="210"/>
      <c r="AC7" s="231" t="s">
        <v>14</v>
      </c>
      <c r="AD7" s="209"/>
      <c r="AE7" s="209"/>
      <c r="AF7" s="209"/>
      <c r="AG7" s="254" t="s">
        <v>44</v>
      </c>
      <c r="AH7" s="209"/>
      <c r="AI7" s="209"/>
      <c r="AJ7" s="210"/>
      <c r="AK7" s="2"/>
      <c r="AL7" s="2"/>
      <c r="AM7" s="2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2"/>
      <c r="BF7" s="2"/>
    </row>
    <row r="8" spans="1:58" ht="55.5" customHeight="1" thickBot="1">
      <c r="A8" s="10"/>
      <c r="B8" s="216" t="s">
        <v>9</v>
      </c>
      <c r="C8" s="217"/>
      <c r="D8" s="217"/>
      <c r="E8" s="218"/>
      <c r="F8" s="219" t="s">
        <v>16</v>
      </c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20"/>
      <c r="S8" s="221" t="s">
        <v>17</v>
      </c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20"/>
      <c r="AF8" s="222" t="s">
        <v>18</v>
      </c>
      <c r="AG8" s="209"/>
      <c r="AH8" s="220"/>
      <c r="AI8" s="23" t="s">
        <v>19</v>
      </c>
      <c r="AJ8" s="24" t="s">
        <v>20</v>
      </c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</row>
    <row r="9" spans="1:58" ht="18" customHeight="1" thickBot="1">
      <c r="A9" s="25"/>
      <c r="B9" s="26"/>
      <c r="C9" s="26"/>
      <c r="D9" s="26"/>
      <c r="E9" s="27"/>
      <c r="F9" s="28">
        <v>1</v>
      </c>
      <c r="G9" s="29">
        <v>2</v>
      </c>
      <c r="H9" s="29">
        <v>3</v>
      </c>
      <c r="I9" s="29">
        <v>4</v>
      </c>
      <c r="J9" s="29">
        <v>5</v>
      </c>
      <c r="K9" s="29">
        <v>6</v>
      </c>
      <c r="L9" s="29">
        <v>7</v>
      </c>
      <c r="M9" s="29">
        <v>8</v>
      </c>
      <c r="N9" s="29">
        <v>9</v>
      </c>
      <c r="O9" s="30">
        <v>10</v>
      </c>
      <c r="P9" s="25" t="s">
        <v>21</v>
      </c>
      <c r="Q9" s="31" t="s">
        <v>22</v>
      </c>
      <c r="R9" s="32" t="s">
        <v>23</v>
      </c>
      <c r="S9" s="33">
        <v>1</v>
      </c>
      <c r="T9" s="29">
        <v>2</v>
      </c>
      <c r="U9" s="29">
        <v>3</v>
      </c>
      <c r="V9" s="29">
        <v>4</v>
      </c>
      <c r="W9" s="29">
        <v>5</v>
      </c>
      <c r="X9" s="29">
        <v>6</v>
      </c>
      <c r="Y9" s="29">
        <v>7</v>
      </c>
      <c r="Z9" s="29">
        <v>8</v>
      </c>
      <c r="AA9" s="29">
        <v>9</v>
      </c>
      <c r="AB9" s="30">
        <v>10</v>
      </c>
      <c r="AC9" s="25" t="s">
        <v>21</v>
      </c>
      <c r="AD9" s="31" t="s">
        <v>22</v>
      </c>
      <c r="AE9" s="32" t="s">
        <v>23</v>
      </c>
      <c r="AF9" s="34">
        <v>1</v>
      </c>
      <c r="AG9" s="31" t="s">
        <v>22</v>
      </c>
      <c r="AH9" s="32" t="s">
        <v>23</v>
      </c>
      <c r="AI9" s="223" t="s">
        <v>24</v>
      </c>
      <c r="AJ9" s="225" t="s">
        <v>24</v>
      </c>
      <c r="AK9" s="34"/>
      <c r="AL9" s="34"/>
      <c r="AM9" s="34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</row>
    <row r="10" spans="1:58" ht="18" customHeight="1" thickBot="1">
      <c r="A10" s="11"/>
      <c r="B10" s="227" t="s">
        <v>25</v>
      </c>
      <c r="C10" s="209"/>
      <c r="D10" s="209"/>
      <c r="E10" s="210"/>
      <c r="F10" s="36">
        <v>10</v>
      </c>
      <c r="G10" s="37">
        <v>10</v>
      </c>
      <c r="H10" s="37">
        <v>10</v>
      </c>
      <c r="I10" s="37">
        <v>10</v>
      </c>
      <c r="J10" s="37">
        <v>10</v>
      </c>
      <c r="K10" s="37">
        <v>10</v>
      </c>
      <c r="L10" s="37">
        <v>10</v>
      </c>
      <c r="M10" s="37">
        <v>10</v>
      </c>
      <c r="N10" s="37">
        <v>10</v>
      </c>
      <c r="O10" s="37">
        <v>10</v>
      </c>
      <c r="P10" s="38">
        <f>IF(COUNT($F10:$O10)=0,"",SUM($F10:$O10))</f>
        <v>100</v>
      </c>
      <c r="Q10" s="39">
        <v>100</v>
      </c>
      <c r="R10" s="40">
        <v>0.3</v>
      </c>
      <c r="S10" s="36">
        <v>10</v>
      </c>
      <c r="T10" s="36">
        <v>10</v>
      </c>
      <c r="U10" s="36">
        <v>10</v>
      </c>
      <c r="V10" s="36">
        <v>10</v>
      </c>
      <c r="W10" s="36">
        <v>10</v>
      </c>
      <c r="X10" s="36">
        <v>10</v>
      </c>
      <c r="Y10" s="36">
        <v>10</v>
      </c>
      <c r="Z10" s="36">
        <v>10</v>
      </c>
      <c r="AA10" s="36">
        <v>10</v>
      </c>
      <c r="AB10" s="36">
        <v>10</v>
      </c>
      <c r="AC10" s="38">
        <f>IF(COUNT($S10:$AB10)=0,"",SUM($S10:$AB10))</f>
        <v>100</v>
      </c>
      <c r="AD10" s="39">
        <v>100</v>
      </c>
      <c r="AE10" s="40">
        <v>0.5</v>
      </c>
      <c r="AF10" s="41">
        <v>30</v>
      </c>
      <c r="AG10" s="39">
        <v>100</v>
      </c>
      <c r="AH10" s="40">
        <v>0.2</v>
      </c>
      <c r="AI10" s="224"/>
      <c r="AJ10" s="226"/>
      <c r="AK10" s="12"/>
      <c r="AL10" s="42" t="s">
        <v>26</v>
      </c>
      <c r="AM10" s="43">
        <v>40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</row>
    <row r="11" spans="1:58" ht="18" customHeight="1" thickBot="1">
      <c r="A11" s="13"/>
      <c r="B11" s="208" t="s">
        <v>10</v>
      </c>
      <c r="C11" s="209"/>
      <c r="D11" s="209"/>
      <c r="E11" s="210"/>
      <c r="F11" s="44"/>
      <c r="G11" s="45"/>
      <c r="H11" s="45"/>
      <c r="I11" s="45"/>
      <c r="J11" s="45"/>
      <c r="K11" s="45"/>
      <c r="L11" s="45"/>
      <c r="M11" s="45"/>
      <c r="N11" s="45"/>
      <c r="O11" s="46"/>
      <c r="P11" s="47"/>
      <c r="Q11" s="48"/>
      <c r="R11" s="49"/>
      <c r="S11" s="50"/>
      <c r="T11" s="45"/>
      <c r="U11" s="45"/>
      <c r="V11" s="45"/>
      <c r="W11" s="45"/>
      <c r="X11" s="45"/>
      <c r="Y11" s="45"/>
      <c r="Z11" s="45"/>
      <c r="AA11" s="45"/>
      <c r="AB11" s="46"/>
      <c r="AC11" s="48"/>
      <c r="AD11" s="48"/>
      <c r="AE11" s="49"/>
      <c r="AF11" s="51"/>
      <c r="AG11" s="48"/>
      <c r="AH11" s="49"/>
      <c r="AI11" s="52"/>
      <c r="AJ11" s="53"/>
      <c r="AK11" s="12"/>
      <c r="AL11" s="54" t="s">
        <v>27</v>
      </c>
      <c r="AM11" s="55">
        <f>AF10</f>
        <v>30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</row>
    <row r="12" spans="1:58" ht="18" customHeight="1" thickBot="1">
      <c r="A12" s="133">
        <v>1</v>
      </c>
      <c r="B12" s="211" t="s">
        <v>102</v>
      </c>
      <c r="C12" s="212"/>
      <c r="D12" s="14"/>
      <c r="E12" s="15"/>
      <c r="F12" s="56">
        <v>10</v>
      </c>
      <c r="G12" s="56">
        <v>10</v>
      </c>
      <c r="H12" s="56">
        <v>9</v>
      </c>
      <c r="I12" s="56">
        <v>9</v>
      </c>
      <c r="J12" s="56">
        <v>9</v>
      </c>
      <c r="K12" s="56">
        <v>8</v>
      </c>
      <c r="L12" s="56">
        <v>9</v>
      </c>
      <c r="M12" s="56">
        <v>9</v>
      </c>
      <c r="N12" s="56">
        <v>9</v>
      </c>
      <c r="O12" s="56">
        <v>9</v>
      </c>
      <c r="P12" s="56">
        <f t="shared" ref="P12:P31" si="0">SUM(F12:O12)</f>
        <v>91</v>
      </c>
      <c r="Q12" s="59">
        <f>IF(ISERROR(IF($P12="","",ROUND(($P12/$P$10)*$Q$10,2))),"",IF($P12="","",ROUND(($P12/$P$10)*$Q$10,2)))</f>
        <v>91</v>
      </c>
      <c r="R12" s="60">
        <f>IF($Q12="","",ROUND($Q12*$R$10,2))</f>
        <v>27.3</v>
      </c>
      <c r="S12" s="61">
        <v>6</v>
      </c>
      <c r="T12" s="57">
        <v>6</v>
      </c>
      <c r="U12" s="57">
        <v>5</v>
      </c>
      <c r="V12" s="57">
        <v>5</v>
      </c>
      <c r="W12" s="57">
        <v>8</v>
      </c>
      <c r="X12" s="57">
        <v>6</v>
      </c>
      <c r="Y12" s="57">
        <v>6</v>
      </c>
      <c r="Z12" s="57">
        <v>6</v>
      </c>
      <c r="AA12" s="57">
        <v>8</v>
      </c>
      <c r="AB12" s="57">
        <v>8</v>
      </c>
      <c r="AC12" s="38">
        <f t="shared" ref="AC12:AC31" si="1">IF(COUNT($S12:$AB12)=0,"",SUM($S12:$AB12))</f>
        <v>64</v>
      </c>
      <c r="AD12" s="59">
        <f t="shared" ref="AD12:AD31" si="2">IF(ISERROR(IF($AC12="","",ROUND(($AC12/$AC$10)*$AD$10,2))),"",IF($AC12="","",ROUND(($AC12/$AC$10)*$AD$10,2)))</f>
        <v>64</v>
      </c>
      <c r="AE12" s="60">
        <f t="shared" ref="AE12:AE31" si="3">IF($AD12="","",ROUND($AD12*$AE$10,2))</f>
        <v>32</v>
      </c>
      <c r="AF12" s="139">
        <v>26</v>
      </c>
      <c r="AG12" s="59">
        <f t="shared" ref="AG12:AG31" si="4">IF(ISERROR(IF($AF12="","",ROUND(($AF12/$AF$10)*$AG$10,2))),"",IF($AF12="","",ROUND(($AF12/$AF$10)*$AG$10,2)))</f>
        <v>86.67</v>
      </c>
      <c r="AH12" s="60">
        <f t="shared" ref="AH12:AH31" si="5">IF($AG12="","",ROUND($AG12*$AH$10,2))</f>
        <v>17.329999999999998</v>
      </c>
      <c r="AI12" s="62">
        <f t="shared" ref="AI12:AI31" si="6">IF(ISERROR(IF($AF12="","",ROUND(SUM($R12,$AE12,$AH12),2))),"",IF($AF12="","",ROUND(SUM($R12,$AE12,$AH12),2)))</f>
        <v>76.63</v>
      </c>
      <c r="AJ12" s="63">
        <f t="shared" ref="AJ12:AJ16" si="7">IF(ISERROR(IF($AF12="","",VLOOKUP(AI12,TRANSMUTATION_TABLE,4,TRUE))),"",IF($AF12="","",VLOOKUP(AI12,TRANSMUTATION_TABLE,4,TRUE)))</f>
        <v>85</v>
      </c>
      <c r="AK12" s="2"/>
      <c r="AL12" s="4"/>
      <c r="AM12" s="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>
        <f t="shared" ref="BF12:BF31" si="8">(AF12/$AF$10)*100</f>
        <v>86.666666666666671</v>
      </c>
    </row>
    <row r="13" spans="1:58" ht="18" customHeight="1" thickBot="1">
      <c r="A13" s="134">
        <v>2</v>
      </c>
      <c r="B13" s="206" t="s">
        <v>103</v>
      </c>
      <c r="C13" s="207"/>
      <c r="D13" s="64"/>
      <c r="E13" s="65"/>
      <c r="F13" s="56">
        <v>10</v>
      </c>
      <c r="G13" s="56">
        <v>10</v>
      </c>
      <c r="H13" s="56">
        <v>10</v>
      </c>
      <c r="I13" s="56">
        <v>10</v>
      </c>
      <c r="J13" s="56">
        <v>10</v>
      </c>
      <c r="K13" s="56">
        <v>9</v>
      </c>
      <c r="L13" s="56">
        <v>9</v>
      </c>
      <c r="M13" s="56">
        <v>8</v>
      </c>
      <c r="N13" s="56">
        <v>9</v>
      </c>
      <c r="O13" s="56">
        <v>9</v>
      </c>
      <c r="P13" s="56">
        <f t="shared" si="0"/>
        <v>94</v>
      </c>
      <c r="Q13" s="59">
        <f t="shared" ref="Q13:Q16" si="9">IF(ISERROR(IF($P13="","",ROUND(($P13/$P$10)*$Q$10,2))),"",IF($P13="","",ROUND(($P13/$P$10)*$Q$10,2)))</f>
        <v>94</v>
      </c>
      <c r="R13" s="60">
        <f>IF($Q13="","",ROUND($Q13*$R$10,2))</f>
        <v>28.2</v>
      </c>
      <c r="S13" s="61">
        <v>7</v>
      </c>
      <c r="T13" s="57">
        <v>6</v>
      </c>
      <c r="U13" s="57">
        <v>6</v>
      </c>
      <c r="V13" s="57">
        <v>7</v>
      </c>
      <c r="W13" s="57">
        <v>6</v>
      </c>
      <c r="X13" s="57">
        <v>8</v>
      </c>
      <c r="Y13" s="57">
        <v>7</v>
      </c>
      <c r="Z13" s="57">
        <v>6</v>
      </c>
      <c r="AA13" s="57">
        <v>6</v>
      </c>
      <c r="AB13" s="57">
        <v>8</v>
      </c>
      <c r="AC13" s="38">
        <f t="shared" si="1"/>
        <v>67</v>
      </c>
      <c r="AD13" s="59">
        <f t="shared" si="2"/>
        <v>67</v>
      </c>
      <c r="AE13" s="60">
        <f t="shared" si="3"/>
        <v>33.5</v>
      </c>
      <c r="AF13" s="139">
        <v>25</v>
      </c>
      <c r="AG13" s="59">
        <f t="shared" si="4"/>
        <v>83.33</v>
      </c>
      <c r="AH13" s="60">
        <f t="shared" si="5"/>
        <v>16.670000000000002</v>
      </c>
      <c r="AI13" s="62">
        <f t="shared" si="6"/>
        <v>78.37</v>
      </c>
      <c r="AJ13" s="63">
        <f t="shared" si="7"/>
        <v>86</v>
      </c>
      <c r="AK13" s="2"/>
      <c r="AL13" s="213" t="s">
        <v>28</v>
      </c>
      <c r="AM13" s="214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>
        <f t="shared" si="8"/>
        <v>83.333333333333343</v>
      </c>
    </row>
    <row r="14" spans="1:58" ht="18" customHeight="1" thickBot="1">
      <c r="A14" s="134">
        <v>3</v>
      </c>
      <c r="B14" s="206" t="s">
        <v>104</v>
      </c>
      <c r="C14" s="207"/>
      <c r="D14" s="64"/>
      <c r="E14" s="65"/>
      <c r="F14" s="56">
        <v>6</v>
      </c>
      <c r="G14" s="56">
        <v>8</v>
      </c>
      <c r="H14" s="56">
        <v>8</v>
      </c>
      <c r="I14" s="56">
        <v>8</v>
      </c>
      <c r="J14" s="56">
        <v>8</v>
      </c>
      <c r="K14" s="56">
        <v>10</v>
      </c>
      <c r="L14" s="56">
        <v>10</v>
      </c>
      <c r="M14" s="56">
        <v>6</v>
      </c>
      <c r="N14" s="56">
        <v>10</v>
      </c>
      <c r="O14" s="56">
        <v>6</v>
      </c>
      <c r="P14" s="56">
        <f t="shared" si="0"/>
        <v>80</v>
      </c>
      <c r="Q14" s="59">
        <f t="shared" si="9"/>
        <v>80</v>
      </c>
      <c r="R14" s="60">
        <f t="shared" ref="R14:R31" si="10">IF($Q14="","",ROUND($Q14*$R$10,2))</f>
        <v>24</v>
      </c>
      <c r="S14" s="61">
        <v>8</v>
      </c>
      <c r="T14" s="57">
        <v>5</v>
      </c>
      <c r="U14" s="57">
        <v>4</v>
      </c>
      <c r="V14" s="57">
        <v>6</v>
      </c>
      <c r="W14" s="57">
        <v>10</v>
      </c>
      <c r="X14" s="57">
        <v>4</v>
      </c>
      <c r="Y14" s="57">
        <v>10</v>
      </c>
      <c r="Z14" s="57">
        <v>10</v>
      </c>
      <c r="AA14" s="57">
        <v>8</v>
      </c>
      <c r="AB14" s="57">
        <v>7</v>
      </c>
      <c r="AC14" s="38">
        <f t="shared" si="1"/>
        <v>72</v>
      </c>
      <c r="AD14" s="129">
        <f t="shared" si="2"/>
        <v>72</v>
      </c>
      <c r="AE14" s="130">
        <f t="shared" si="3"/>
        <v>36</v>
      </c>
      <c r="AF14" s="139">
        <v>25</v>
      </c>
      <c r="AG14" s="59">
        <f t="shared" si="4"/>
        <v>83.33</v>
      </c>
      <c r="AH14" s="60">
        <f t="shared" si="5"/>
        <v>16.670000000000002</v>
      </c>
      <c r="AI14" s="62">
        <f t="shared" si="6"/>
        <v>76.67</v>
      </c>
      <c r="AJ14" s="63">
        <f t="shared" si="7"/>
        <v>85</v>
      </c>
      <c r="AK14" s="2"/>
      <c r="AL14" s="66" t="s">
        <v>29</v>
      </c>
      <c r="AM14" s="67">
        <f>COUNTIF(BF12:BF58,"&gt;=75")</f>
        <v>21</v>
      </c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>
        <f t="shared" si="8"/>
        <v>83.333333333333343</v>
      </c>
    </row>
    <row r="15" spans="1:58" ht="18" customHeight="1" thickBot="1">
      <c r="A15" s="134">
        <v>4</v>
      </c>
      <c r="B15" s="206" t="s">
        <v>105</v>
      </c>
      <c r="C15" s="207"/>
      <c r="D15" s="64"/>
      <c r="E15" s="65"/>
      <c r="F15" s="56">
        <v>6</v>
      </c>
      <c r="G15" s="56">
        <v>5</v>
      </c>
      <c r="H15" s="56">
        <v>5</v>
      </c>
      <c r="I15" s="56">
        <v>5</v>
      </c>
      <c r="J15" s="56">
        <v>8</v>
      </c>
      <c r="K15" s="56">
        <v>6</v>
      </c>
      <c r="L15" s="56">
        <v>9</v>
      </c>
      <c r="M15" s="56">
        <v>5</v>
      </c>
      <c r="N15" s="56">
        <v>4</v>
      </c>
      <c r="O15" s="56">
        <v>7</v>
      </c>
      <c r="P15" s="56">
        <f t="shared" si="0"/>
        <v>60</v>
      </c>
      <c r="Q15" s="59">
        <f t="shared" si="9"/>
        <v>60</v>
      </c>
      <c r="R15" s="60">
        <f t="shared" si="10"/>
        <v>18</v>
      </c>
      <c r="S15" s="61">
        <v>6</v>
      </c>
      <c r="T15" s="57">
        <v>6</v>
      </c>
      <c r="U15" s="57">
        <v>9</v>
      </c>
      <c r="V15" s="57">
        <v>8</v>
      </c>
      <c r="W15" s="57">
        <v>6</v>
      </c>
      <c r="X15" s="57">
        <v>8</v>
      </c>
      <c r="Y15" s="57">
        <v>6</v>
      </c>
      <c r="Z15" s="57">
        <v>9</v>
      </c>
      <c r="AA15" s="57">
        <v>6</v>
      </c>
      <c r="AB15" s="57">
        <v>8</v>
      </c>
      <c r="AC15" s="199">
        <f t="shared" si="1"/>
        <v>72</v>
      </c>
      <c r="AD15" s="165">
        <f t="shared" si="2"/>
        <v>72</v>
      </c>
      <c r="AE15" s="165">
        <f t="shared" si="3"/>
        <v>36</v>
      </c>
      <c r="AF15" s="163">
        <v>20</v>
      </c>
      <c r="AG15" s="59">
        <f t="shared" si="4"/>
        <v>66.67</v>
      </c>
      <c r="AH15" s="60">
        <f t="shared" si="5"/>
        <v>13.33</v>
      </c>
      <c r="AI15" s="62">
        <f t="shared" si="6"/>
        <v>67.33</v>
      </c>
      <c r="AJ15" s="63">
        <f t="shared" si="7"/>
        <v>79</v>
      </c>
      <c r="AK15" s="2"/>
      <c r="AL15" s="68" t="s">
        <v>30</v>
      </c>
      <c r="AM15" s="69">
        <f>AM14/AM10</f>
        <v>0.52500000000000002</v>
      </c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>
        <f t="shared" si="8"/>
        <v>66.666666666666657</v>
      </c>
    </row>
    <row r="16" spans="1:58" ht="18" customHeight="1" thickBot="1">
      <c r="A16" s="134">
        <v>5</v>
      </c>
      <c r="B16" s="206" t="s">
        <v>106</v>
      </c>
      <c r="C16" s="207"/>
      <c r="D16" s="64"/>
      <c r="E16" s="65"/>
      <c r="F16" s="56">
        <v>5</v>
      </c>
      <c r="G16" s="56">
        <v>5</v>
      </c>
      <c r="H16" s="56">
        <v>8</v>
      </c>
      <c r="I16" s="56">
        <v>6</v>
      </c>
      <c r="J16" s="56">
        <v>9</v>
      </c>
      <c r="K16" s="56">
        <v>7</v>
      </c>
      <c r="L16" s="56">
        <v>5</v>
      </c>
      <c r="M16" s="56">
        <v>6</v>
      </c>
      <c r="N16" s="56">
        <v>5</v>
      </c>
      <c r="O16" s="56">
        <v>4</v>
      </c>
      <c r="P16" s="56">
        <f t="shared" si="0"/>
        <v>60</v>
      </c>
      <c r="Q16" s="59">
        <f t="shared" si="9"/>
        <v>60</v>
      </c>
      <c r="R16" s="130">
        <f t="shared" si="10"/>
        <v>18</v>
      </c>
      <c r="S16" s="61">
        <v>6</v>
      </c>
      <c r="T16" s="57">
        <v>6</v>
      </c>
      <c r="U16" s="57">
        <v>7</v>
      </c>
      <c r="V16" s="57">
        <v>6</v>
      </c>
      <c r="W16" s="57">
        <v>8</v>
      </c>
      <c r="X16" s="57">
        <v>8</v>
      </c>
      <c r="Y16" s="57">
        <v>8</v>
      </c>
      <c r="Z16" s="57">
        <v>8</v>
      </c>
      <c r="AA16" s="57">
        <v>8</v>
      </c>
      <c r="AB16" s="57">
        <v>8</v>
      </c>
      <c r="AC16" s="200">
        <f t="shared" si="1"/>
        <v>73</v>
      </c>
      <c r="AD16" s="181">
        <f t="shared" si="2"/>
        <v>73</v>
      </c>
      <c r="AE16" s="165">
        <f t="shared" si="3"/>
        <v>36.5</v>
      </c>
      <c r="AF16" s="163">
        <v>22</v>
      </c>
      <c r="AG16" s="59">
        <f t="shared" si="4"/>
        <v>73.33</v>
      </c>
      <c r="AH16" s="60">
        <f t="shared" si="5"/>
        <v>14.67</v>
      </c>
      <c r="AI16" s="62">
        <f t="shared" si="6"/>
        <v>69.17</v>
      </c>
      <c r="AJ16" s="63">
        <f t="shared" si="7"/>
        <v>80</v>
      </c>
      <c r="AK16" s="2"/>
      <c r="AL16" s="68" t="s">
        <v>31</v>
      </c>
      <c r="AM16" s="70">
        <f>AM10-AM14</f>
        <v>19</v>
      </c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>
        <f t="shared" si="8"/>
        <v>73.333333333333329</v>
      </c>
    </row>
    <row r="17" spans="1:58" ht="18" customHeight="1" thickBot="1">
      <c r="A17" s="134">
        <v>6</v>
      </c>
      <c r="B17" s="206" t="s">
        <v>107</v>
      </c>
      <c r="C17" s="207"/>
      <c r="D17" s="64"/>
      <c r="E17" s="65"/>
      <c r="F17" s="56">
        <v>9</v>
      </c>
      <c r="G17" s="56">
        <v>9</v>
      </c>
      <c r="H17" s="56">
        <v>8</v>
      </c>
      <c r="I17" s="56">
        <v>6</v>
      </c>
      <c r="J17" s="56">
        <v>6</v>
      </c>
      <c r="K17" s="56">
        <v>7</v>
      </c>
      <c r="L17" s="56">
        <v>8</v>
      </c>
      <c r="M17" s="56">
        <v>8</v>
      </c>
      <c r="N17" s="56">
        <v>9</v>
      </c>
      <c r="O17" s="56">
        <v>8</v>
      </c>
      <c r="P17" s="56">
        <f t="shared" si="0"/>
        <v>78</v>
      </c>
      <c r="Q17" s="196">
        <f t="shared" ref="Q17:Q31" si="11">IF(ISERROR(IF($P17="","",ROUND(($P17/$P$10)*$Q$10,2))),"",IF($P17="","",ROUND(($P17/$P$10)*$Q$10,2)))</f>
        <v>78</v>
      </c>
      <c r="R17" s="165">
        <f t="shared" si="10"/>
        <v>23.4</v>
      </c>
      <c r="S17" s="197">
        <v>9</v>
      </c>
      <c r="T17" s="57">
        <v>8</v>
      </c>
      <c r="U17" s="57">
        <v>10</v>
      </c>
      <c r="V17" s="57">
        <v>8</v>
      </c>
      <c r="W17" s="57">
        <v>9</v>
      </c>
      <c r="X17" s="57">
        <v>10</v>
      </c>
      <c r="Y17" s="57">
        <v>10</v>
      </c>
      <c r="Z17" s="57">
        <v>10</v>
      </c>
      <c r="AA17" s="57">
        <v>10</v>
      </c>
      <c r="AB17" s="57">
        <v>10</v>
      </c>
      <c r="AC17" s="38">
        <f t="shared" si="1"/>
        <v>94</v>
      </c>
      <c r="AD17" s="59">
        <f t="shared" si="2"/>
        <v>94</v>
      </c>
      <c r="AE17" s="60">
        <f t="shared" si="3"/>
        <v>47</v>
      </c>
      <c r="AF17" s="139">
        <v>19</v>
      </c>
      <c r="AG17" s="59">
        <f t="shared" si="4"/>
        <v>63.33</v>
      </c>
      <c r="AH17" s="60">
        <f t="shared" si="5"/>
        <v>12.67</v>
      </c>
      <c r="AI17" s="62">
        <f t="shared" si="6"/>
        <v>83.07</v>
      </c>
      <c r="AJ17" s="63">
        <f t="shared" ref="AJ17:AJ31" si="12">IF(ISERROR(IF($AF17="","",VLOOKUP(AI17,TRANSMUTATION_TABLE,4,TRUE))),"",IF($AF17="","",VLOOKUP(AI17,TRANSMUTATION_TABLE,4,TRUE)))</f>
        <v>89</v>
      </c>
      <c r="AK17" s="2"/>
      <c r="AL17" s="71" t="s">
        <v>30</v>
      </c>
      <c r="AM17" s="72">
        <f>1-AM15</f>
        <v>0.47499999999999998</v>
      </c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>
        <f t="shared" si="8"/>
        <v>63.333333333333329</v>
      </c>
    </row>
    <row r="18" spans="1:58" ht="18" customHeight="1" thickBot="1">
      <c r="A18" s="134">
        <v>7</v>
      </c>
      <c r="B18" s="206" t="s">
        <v>108</v>
      </c>
      <c r="C18" s="207"/>
      <c r="D18" s="64">
        <v>0</v>
      </c>
      <c r="E18" s="65"/>
      <c r="F18" s="56">
        <v>5</v>
      </c>
      <c r="G18" s="56">
        <v>8</v>
      </c>
      <c r="H18" s="56">
        <v>8</v>
      </c>
      <c r="I18" s="56">
        <v>8</v>
      </c>
      <c r="J18" s="56">
        <v>6</v>
      </c>
      <c r="K18" s="56">
        <v>4</v>
      </c>
      <c r="L18" s="56">
        <v>6</v>
      </c>
      <c r="M18" s="56">
        <v>5</v>
      </c>
      <c r="N18" s="56">
        <v>4</v>
      </c>
      <c r="O18" s="56">
        <v>6</v>
      </c>
      <c r="P18" s="56">
        <f t="shared" si="0"/>
        <v>60</v>
      </c>
      <c r="Q18" s="59">
        <f t="shared" si="11"/>
        <v>60</v>
      </c>
      <c r="R18" s="60">
        <f t="shared" si="10"/>
        <v>18</v>
      </c>
      <c r="S18" s="61">
        <v>9</v>
      </c>
      <c r="T18" s="57">
        <v>9</v>
      </c>
      <c r="U18" s="57">
        <v>8</v>
      </c>
      <c r="V18" s="57">
        <v>8</v>
      </c>
      <c r="W18" s="57">
        <v>6</v>
      </c>
      <c r="X18" s="57">
        <v>9</v>
      </c>
      <c r="Y18" s="57">
        <v>9</v>
      </c>
      <c r="Z18" s="57">
        <v>9</v>
      </c>
      <c r="AA18" s="57">
        <v>10</v>
      </c>
      <c r="AB18" s="57">
        <v>10</v>
      </c>
      <c r="AC18" s="140">
        <f t="shared" si="1"/>
        <v>87</v>
      </c>
      <c r="AD18" s="129">
        <f t="shared" si="2"/>
        <v>87</v>
      </c>
      <c r="AE18" s="130">
        <f t="shared" si="3"/>
        <v>43.5</v>
      </c>
      <c r="AF18" s="139">
        <v>8</v>
      </c>
      <c r="AG18" s="59">
        <f t="shared" si="4"/>
        <v>26.67</v>
      </c>
      <c r="AH18" s="60">
        <f t="shared" si="5"/>
        <v>5.33</v>
      </c>
      <c r="AI18" s="62">
        <f t="shared" si="6"/>
        <v>66.83</v>
      </c>
      <c r="AJ18" s="63">
        <f t="shared" si="12"/>
        <v>79</v>
      </c>
      <c r="AK18" s="2"/>
      <c r="AL18" s="4"/>
      <c r="AM18" s="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>
        <f t="shared" si="8"/>
        <v>26.666666666666668</v>
      </c>
    </row>
    <row r="19" spans="1:58" ht="18" customHeight="1" thickBot="1">
      <c r="A19" s="134">
        <v>8</v>
      </c>
      <c r="B19" s="206" t="s">
        <v>109</v>
      </c>
      <c r="C19" s="207"/>
      <c r="D19" s="64"/>
      <c r="E19" s="65"/>
      <c r="F19" s="56">
        <v>5</v>
      </c>
      <c r="G19" s="56">
        <v>5</v>
      </c>
      <c r="H19" s="56">
        <v>5</v>
      </c>
      <c r="I19" s="56">
        <v>5</v>
      </c>
      <c r="J19" s="56">
        <v>6</v>
      </c>
      <c r="K19" s="56">
        <v>6</v>
      </c>
      <c r="L19" s="56">
        <v>5</v>
      </c>
      <c r="M19" s="56">
        <v>6</v>
      </c>
      <c r="N19" s="56">
        <v>5</v>
      </c>
      <c r="O19" s="56">
        <v>6</v>
      </c>
      <c r="P19" s="56">
        <f t="shared" si="0"/>
        <v>54</v>
      </c>
      <c r="Q19" s="59">
        <f t="shared" si="11"/>
        <v>54</v>
      </c>
      <c r="R19" s="60">
        <f t="shared" si="10"/>
        <v>16.2</v>
      </c>
      <c r="S19" s="61">
        <v>7</v>
      </c>
      <c r="T19" s="57">
        <v>8</v>
      </c>
      <c r="U19" s="57">
        <v>6</v>
      </c>
      <c r="V19" s="57">
        <v>6</v>
      </c>
      <c r="W19" s="57">
        <v>5</v>
      </c>
      <c r="X19" s="57">
        <v>10</v>
      </c>
      <c r="Y19" s="57">
        <v>8</v>
      </c>
      <c r="Z19" s="57">
        <v>10</v>
      </c>
      <c r="AA19" s="57">
        <v>8</v>
      </c>
      <c r="AB19" s="57">
        <v>5</v>
      </c>
      <c r="AC19" s="38">
        <f t="shared" si="1"/>
        <v>73</v>
      </c>
      <c r="AD19" s="59">
        <f t="shared" si="2"/>
        <v>73</v>
      </c>
      <c r="AE19" s="60">
        <f t="shared" si="3"/>
        <v>36.5</v>
      </c>
      <c r="AF19" s="139">
        <v>25</v>
      </c>
      <c r="AG19" s="59">
        <f t="shared" si="4"/>
        <v>83.33</v>
      </c>
      <c r="AH19" s="60">
        <f t="shared" si="5"/>
        <v>16.670000000000002</v>
      </c>
      <c r="AI19" s="62">
        <f t="shared" si="6"/>
        <v>69.37</v>
      </c>
      <c r="AJ19" s="63">
        <f t="shared" si="12"/>
        <v>80</v>
      </c>
      <c r="AK19" s="2"/>
      <c r="AL19" s="73" t="s">
        <v>32</v>
      </c>
      <c r="AM19" s="74" t="s">
        <v>33</v>
      </c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>
        <f t="shared" si="8"/>
        <v>83.333333333333343</v>
      </c>
    </row>
    <row r="20" spans="1:58" ht="18" customHeight="1" thickBot="1">
      <c r="A20" s="134">
        <v>9</v>
      </c>
      <c r="B20" s="206" t="s">
        <v>110</v>
      </c>
      <c r="C20" s="207"/>
      <c r="D20" s="64">
        <v>0</v>
      </c>
      <c r="E20" s="65"/>
      <c r="F20" s="56">
        <v>5</v>
      </c>
      <c r="G20" s="56">
        <v>6</v>
      </c>
      <c r="H20" s="56">
        <v>7</v>
      </c>
      <c r="I20" s="56">
        <v>6</v>
      </c>
      <c r="J20" s="56">
        <v>7</v>
      </c>
      <c r="K20" s="56">
        <v>8</v>
      </c>
      <c r="L20" s="56">
        <v>9</v>
      </c>
      <c r="M20" s="56">
        <v>8</v>
      </c>
      <c r="N20" s="56">
        <v>5</v>
      </c>
      <c r="O20" s="56">
        <v>9</v>
      </c>
      <c r="P20" s="56">
        <f t="shared" si="0"/>
        <v>70</v>
      </c>
      <c r="Q20" s="59">
        <f t="shared" si="11"/>
        <v>70</v>
      </c>
      <c r="R20" s="60">
        <f t="shared" si="10"/>
        <v>21</v>
      </c>
      <c r="S20" s="61">
        <v>9</v>
      </c>
      <c r="T20" s="57">
        <v>5</v>
      </c>
      <c r="U20" s="57">
        <v>8</v>
      </c>
      <c r="V20" s="57">
        <v>8</v>
      </c>
      <c r="W20" s="57">
        <v>9</v>
      </c>
      <c r="X20" s="57">
        <v>10</v>
      </c>
      <c r="Y20" s="57">
        <v>7</v>
      </c>
      <c r="Z20" s="57">
        <v>7</v>
      </c>
      <c r="AA20" s="57">
        <v>9</v>
      </c>
      <c r="AB20" s="57">
        <v>7</v>
      </c>
      <c r="AC20" s="38">
        <f t="shared" si="1"/>
        <v>79</v>
      </c>
      <c r="AD20" s="59">
        <f t="shared" si="2"/>
        <v>79</v>
      </c>
      <c r="AE20" s="60">
        <f t="shared" si="3"/>
        <v>39.5</v>
      </c>
      <c r="AF20" s="139">
        <v>22</v>
      </c>
      <c r="AG20" s="59">
        <f t="shared" si="4"/>
        <v>73.33</v>
      </c>
      <c r="AH20" s="60">
        <f t="shared" si="5"/>
        <v>14.67</v>
      </c>
      <c r="AI20" s="62">
        <f t="shared" si="6"/>
        <v>75.17</v>
      </c>
      <c r="AJ20" s="63">
        <f t="shared" si="12"/>
        <v>84</v>
      </c>
      <c r="AK20" s="2"/>
      <c r="AL20" s="66" t="s">
        <v>34</v>
      </c>
      <c r="AM20" s="75">
        <f>AVERAGE(AF12:AF52)</f>
        <v>22.574999999999999</v>
      </c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>
        <f t="shared" si="8"/>
        <v>73.333333333333329</v>
      </c>
    </row>
    <row r="21" spans="1:58" ht="18" customHeight="1" thickBot="1">
      <c r="A21" s="134">
        <v>10</v>
      </c>
      <c r="B21" s="206" t="s">
        <v>111</v>
      </c>
      <c r="C21" s="207"/>
      <c r="D21" s="64"/>
      <c r="E21" s="65"/>
      <c r="F21" s="56">
        <v>5</v>
      </c>
      <c r="G21" s="56">
        <v>6</v>
      </c>
      <c r="H21" s="56">
        <v>7</v>
      </c>
      <c r="I21" s="56">
        <v>6</v>
      </c>
      <c r="J21" s="56">
        <v>6</v>
      </c>
      <c r="K21" s="56">
        <v>6</v>
      </c>
      <c r="L21" s="56">
        <v>6</v>
      </c>
      <c r="M21" s="56">
        <v>8</v>
      </c>
      <c r="N21" s="56">
        <v>6</v>
      </c>
      <c r="O21" s="56">
        <v>9</v>
      </c>
      <c r="P21" s="56">
        <f t="shared" si="0"/>
        <v>65</v>
      </c>
      <c r="Q21" s="59">
        <f t="shared" si="11"/>
        <v>65</v>
      </c>
      <c r="R21" s="60">
        <f t="shared" si="10"/>
        <v>19.5</v>
      </c>
      <c r="S21" s="61">
        <v>9</v>
      </c>
      <c r="T21" s="57">
        <v>5</v>
      </c>
      <c r="U21" s="57">
        <v>8</v>
      </c>
      <c r="V21" s="57">
        <v>8</v>
      </c>
      <c r="W21" s="57">
        <v>9</v>
      </c>
      <c r="X21" s="57">
        <v>8</v>
      </c>
      <c r="Y21" s="57">
        <v>10</v>
      </c>
      <c r="Z21" s="57">
        <v>10</v>
      </c>
      <c r="AA21" s="57">
        <v>9</v>
      </c>
      <c r="AB21" s="57">
        <v>7</v>
      </c>
      <c r="AC21" s="38">
        <f t="shared" si="1"/>
        <v>83</v>
      </c>
      <c r="AD21" s="59">
        <f t="shared" si="2"/>
        <v>83</v>
      </c>
      <c r="AE21" s="60">
        <f t="shared" si="3"/>
        <v>41.5</v>
      </c>
      <c r="AF21" s="139">
        <v>22</v>
      </c>
      <c r="AG21" s="59">
        <f t="shared" si="4"/>
        <v>73.33</v>
      </c>
      <c r="AH21" s="60">
        <f t="shared" si="5"/>
        <v>14.67</v>
      </c>
      <c r="AI21" s="62">
        <f t="shared" si="6"/>
        <v>75.67</v>
      </c>
      <c r="AJ21" s="63">
        <f t="shared" si="12"/>
        <v>84</v>
      </c>
      <c r="AK21" s="2"/>
      <c r="AL21" s="68" t="s">
        <v>35</v>
      </c>
      <c r="AM21" s="70">
        <f>MEDIAN(AF12:AF52)</f>
        <v>23</v>
      </c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>
        <f t="shared" si="8"/>
        <v>73.333333333333329</v>
      </c>
    </row>
    <row r="22" spans="1:58" ht="18" customHeight="1" thickBot="1">
      <c r="A22" s="134">
        <v>11</v>
      </c>
      <c r="B22" s="206" t="s">
        <v>112</v>
      </c>
      <c r="C22" s="207"/>
      <c r="D22" s="64"/>
      <c r="E22" s="65"/>
      <c r="F22" s="56">
        <v>6</v>
      </c>
      <c r="G22" s="56">
        <v>8</v>
      </c>
      <c r="H22" s="56">
        <v>8</v>
      </c>
      <c r="I22" s="56">
        <v>8</v>
      </c>
      <c r="J22" s="56">
        <v>7</v>
      </c>
      <c r="K22" s="56">
        <v>8</v>
      </c>
      <c r="L22" s="56">
        <v>9</v>
      </c>
      <c r="M22" s="56">
        <v>8</v>
      </c>
      <c r="N22" s="56">
        <v>5</v>
      </c>
      <c r="O22" s="56">
        <v>9</v>
      </c>
      <c r="P22" s="56">
        <f t="shared" si="0"/>
        <v>76</v>
      </c>
      <c r="Q22" s="59">
        <f t="shared" si="11"/>
        <v>76</v>
      </c>
      <c r="R22" s="60">
        <f t="shared" si="10"/>
        <v>22.8</v>
      </c>
      <c r="S22" s="61">
        <v>9</v>
      </c>
      <c r="T22" s="57">
        <v>5</v>
      </c>
      <c r="U22" s="57">
        <v>8</v>
      </c>
      <c r="V22" s="57">
        <v>8</v>
      </c>
      <c r="W22" s="57">
        <v>9</v>
      </c>
      <c r="X22" s="57">
        <v>8</v>
      </c>
      <c r="Y22" s="57">
        <v>10</v>
      </c>
      <c r="Z22" s="57">
        <v>7</v>
      </c>
      <c r="AA22" s="57">
        <v>9</v>
      </c>
      <c r="AB22" s="57">
        <v>7</v>
      </c>
      <c r="AC22" s="38">
        <f t="shared" si="1"/>
        <v>80</v>
      </c>
      <c r="AD22" s="59">
        <f t="shared" si="2"/>
        <v>80</v>
      </c>
      <c r="AE22" s="60">
        <f t="shared" si="3"/>
        <v>40</v>
      </c>
      <c r="AF22" s="139">
        <v>22</v>
      </c>
      <c r="AG22" s="59">
        <f t="shared" si="4"/>
        <v>73.33</v>
      </c>
      <c r="AH22" s="60">
        <f t="shared" si="5"/>
        <v>14.67</v>
      </c>
      <c r="AI22" s="62">
        <f t="shared" si="6"/>
        <v>77.47</v>
      </c>
      <c r="AJ22" s="63">
        <f t="shared" si="12"/>
        <v>85</v>
      </c>
      <c r="AK22" s="2"/>
      <c r="AL22" s="68" t="s">
        <v>36</v>
      </c>
      <c r="AM22" s="76">
        <f>_xlfn.STDEV.S(AF12:AF52)</f>
        <v>3.6925948072130046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12">
        <f t="shared" si="8"/>
        <v>73.333333333333329</v>
      </c>
    </row>
    <row r="23" spans="1:58" ht="18" customHeight="1" thickBot="1">
      <c r="A23" s="134">
        <v>12</v>
      </c>
      <c r="B23" s="206" t="s">
        <v>113</v>
      </c>
      <c r="C23" s="207"/>
      <c r="D23" s="64"/>
      <c r="E23" s="65"/>
      <c r="F23" s="56">
        <v>5</v>
      </c>
      <c r="G23" s="56">
        <v>6</v>
      </c>
      <c r="H23" s="56">
        <v>7</v>
      </c>
      <c r="I23" s="56">
        <v>6</v>
      </c>
      <c r="J23" s="56">
        <v>7</v>
      </c>
      <c r="K23" s="56">
        <v>7</v>
      </c>
      <c r="L23" s="56">
        <v>7</v>
      </c>
      <c r="M23" s="56">
        <v>6</v>
      </c>
      <c r="N23" s="56">
        <v>6</v>
      </c>
      <c r="O23" s="56">
        <v>5</v>
      </c>
      <c r="P23" s="56">
        <f t="shared" si="0"/>
        <v>62</v>
      </c>
      <c r="Q23" s="59">
        <f t="shared" si="11"/>
        <v>62</v>
      </c>
      <c r="R23" s="60">
        <f t="shared" si="10"/>
        <v>18.600000000000001</v>
      </c>
      <c r="S23" s="61">
        <v>6</v>
      </c>
      <c r="T23" s="57">
        <v>5</v>
      </c>
      <c r="U23" s="57">
        <v>8</v>
      </c>
      <c r="V23" s="57">
        <v>8</v>
      </c>
      <c r="W23" s="57">
        <v>9</v>
      </c>
      <c r="X23" s="57">
        <v>8</v>
      </c>
      <c r="Y23" s="57">
        <v>10</v>
      </c>
      <c r="Z23" s="57">
        <v>10</v>
      </c>
      <c r="AA23" s="57">
        <v>9</v>
      </c>
      <c r="AB23" s="57">
        <v>7</v>
      </c>
      <c r="AC23" s="38">
        <f t="shared" si="1"/>
        <v>80</v>
      </c>
      <c r="AD23" s="59">
        <f t="shared" si="2"/>
        <v>80</v>
      </c>
      <c r="AE23" s="60">
        <f t="shared" si="3"/>
        <v>40</v>
      </c>
      <c r="AF23" s="139">
        <v>18</v>
      </c>
      <c r="AG23" s="59">
        <f t="shared" si="4"/>
        <v>60</v>
      </c>
      <c r="AH23" s="60">
        <f t="shared" si="5"/>
        <v>12</v>
      </c>
      <c r="AI23" s="62">
        <f t="shared" si="6"/>
        <v>70.599999999999994</v>
      </c>
      <c r="AJ23" s="63">
        <f t="shared" si="12"/>
        <v>81</v>
      </c>
      <c r="AK23" s="2"/>
      <c r="AL23" s="71" t="s">
        <v>37</v>
      </c>
      <c r="AM23" s="72">
        <f>AM20/AM11</f>
        <v>0.75249999999999995</v>
      </c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2">
        <f t="shared" si="8"/>
        <v>60</v>
      </c>
    </row>
    <row r="24" spans="1:58" ht="18" customHeight="1" thickBot="1">
      <c r="A24" s="134">
        <v>13</v>
      </c>
      <c r="B24" s="206" t="s">
        <v>114</v>
      </c>
      <c r="C24" s="207"/>
      <c r="D24" s="64"/>
      <c r="E24" s="65"/>
      <c r="F24" s="56">
        <v>6</v>
      </c>
      <c r="G24" s="56">
        <v>7</v>
      </c>
      <c r="H24" s="56">
        <v>7</v>
      </c>
      <c r="I24" s="56">
        <v>6</v>
      </c>
      <c r="J24" s="56">
        <v>7</v>
      </c>
      <c r="K24" s="56">
        <v>8</v>
      </c>
      <c r="L24" s="56">
        <v>9</v>
      </c>
      <c r="M24" s="56">
        <v>8</v>
      </c>
      <c r="N24" s="56">
        <v>5</v>
      </c>
      <c r="O24" s="56">
        <v>9</v>
      </c>
      <c r="P24" s="56">
        <f t="shared" si="0"/>
        <v>72</v>
      </c>
      <c r="Q24" s="59">
        <f t="shared" si="11"/>
        <v>72</v>
      </c>
      <c r="R24" s="60">
        <f t="shared" si="10"/>
        <v>21.6</v>
      </c>
      <c r="S24" s="61">
        <v>9</v>
      </c>
      <c r="T24" s="57">
        <v>5</v>
      </c>
      <c r="U24" s="57">
        <v>8</v>
      </c>
      <c r="V24" s="57">
        <v>8</v>
      </c>
      <c r="W24" s="57">
        <v>9</v>
      </c>
      <c r="X24" s="57">
        <v>8</v>
      </c>
      <c r="Y24" s="57">
        <v>7</v>
      </c>
      <c r="Z24" s="57">
        <v>7</v>
      </c>
      <c r="AA24" s="57">
        <v>9</v>
      </c>
      <c r="AB24" s="57">
        <v>7</v>
      </c>
      <c r="AC24" s="38">
        <f t="shared" si="1"/>
        <v>77</v>
      </c>
      <c r="AD24" s="59">
        <f t="shared" si="2"/>
        <v>77</v>
      </c>
      <c r="AE24" s="60">
        <f t="shared" si="3"/>
        <v>38.5</v>
      </c>
      <c r="AF24" s="139">
        <v>23</v>
      </c>
      <c r="AG24" s="59">
        <f t="shared" si="4"/>
        <v>76.67</v>
      </c>
      <c r="AH24" s="60">
        <f t="shared" si="5"/>
        <v>15.33</v>
      </c>
      <c r="AI24" s="62">
        <f t="shared" si="6"/>
        <v>75.430000000000007</v>
      </c>
      <c r="AJ24" s="63">
        <f t="shared" si="12"/>
        <v>84</v>
      </c>
      <c r="AK24" s="2"/>
      <c r="AL24" s="4"/>
      <c r="AM24" s="2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2">
        <f t="shared" si="8"/>
        <v>76.666666666666671</v>
      </c>
    </row>
    <row r="25" spans="1:58" ht="18" customHeight="1" thickBot="1">
      <c r="A25" s="134">
        <v>14</v>
      </c>
      <c r="B25" s="206" t="s">
        <v>115</v>
      </c>
      <c r="C25" s="207"/>
      <c r="D25" s="64"/>
      <c r="E25" s="65"/>
      <c r="F25" s="56">
        <v>6</v>
      </c>
      <c r="G25" s="56">
        <v>6</v>
      </c>
      <c r="H25" s="56">
        <v>8</v>
      </c>
      <c r="I25" s="56">
        <v>6</v>
      </c>
      <c r="J25" s="56">
        <v>8</v>
      </c>
      <c r="K25" s="56">
        <v>6</v>
      </c>
      <c r="L25" s="56">
        <v>6</v>
      </c>
      <c r="M25" s="56">
        <v>7</v>
      </c>
      <c r="N25" s="56">
        <v>6</v>
      </c>
      <c r="O25" s="56">
        <v>9</v>
      </c>
      <c r="P25" s="56">
        <f t="shared" si="0"/>
        <v>68</v>
      </c>
      <c r="Q25" s="59">
        <f t="shared" si="11"/>
        <v>68</v>
      </c>
      <c r="R25" s="60">
        <f t="shared" si="10"/>
        <v>20.399999999999999</v>
      </c>
      <c r="S25" s="61">
        <v>6</v>
      </c>
      <c r="T25" s="57">
        <v>8</v>
      </c>
      <c r="U25" s="57">
        <v>6</v>
      </c>
      <c r="V25" s="57">
        <v>6</v>
      </c>
      <c r="W25" s="57">
        <v>7</v>
      </c>
      <c r="X25" s="57">
        <v>6</v>
      </c>
      <c r="Y25" s="57">
        <v>6</v>
      </c>
      <c r="Z25" s="57">
        <v>6</v>
      </c>
      <c r="AA25" s="57">
        <v>6</v>
      </c>
      <c r="AB25" s="57">
        <v>8</v>
      </c>
      <c r="AC25" s="38">
        <f t="shared" si="1"/>
        <v>65</v>
      </c>
      <c r="AD25" s="59">
        <f t="shared" si="2"/>
        <v>65</v>
      </c>
      <c r="AE25" s="60">
        <f t="shared" si="3"/>
        <v>32.5</v>
      </c>
      <c r="AF25" s="139">
        <v>23</v>
      </c>
      <c r="AG25" s="59">
        <f t="shared" si="4"/>
        <v>76.67</v>
      </c>
      <c r="AH25" s="60">
        <f t="shared" si="5"/>
        <v>15.33</v>
      </c>
      <c r="AI25" s="62">
        <f t="shared" si="6"/>
        <v>68.23</v>
      </c>
      <c r="AJ25" s="63">
        <f t="shared" si="12"/>
        <v>80</v>
      </c>
      <c r="AK25" s="2"/>
      <c r="AL25" s="73" t="s">
        <v>38</v>
      </c>
      <c r="AM25" s="77" t="s">
        <v>33</v>
      </c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2">
        <f t="shared" si="8"/>
        <v>76.666666666666671</v>
      </c>
    </row>
    <row r="26" spans="1:58" ht="18" customHeight="1" thickBot="1">
      <c r="A26" s="134">
        <v>15</v>
      </c>
      <c r="B26" s="206" t="s">
        <v>116</v>
      </c>
      <c r="C26" s="207"/>
      <c r="D26" s="64"/>
      <c r="E26" s="65"/>
      <c r="F26" s="56">
        <v>5</v>
      </c>
      <c r="G26" s="56">
        <v>8</v>
      </c>
      <c r="H26" s="56">
        <v>5</v>
      </c>
      <c r="I26" s="56">
        <v>6</v>
      </c>
      <c r="J26" s="56">
        <v>7</v>
      </c>
      <c r="K26" s="56">
        <v>8</v>
      </c>
      <c r="L26" s="56">
        <v>9</v>
      </c>
      <c r="M26" s="56">
        <v>8</v>
      </c>
      <c r="N26" s="56">
        <v>5</v>
      </c>
      <c r="O26" s="56">
        <v>9</v>
      </c>
      <c r="P26" s="56">
        <f t="shared" si="0"/>
        <v>70</v>
      </c>
      <c r="Q26" s="59">
        <f t="shared" si="11"/>
        <v>70</v>
      </c>
      <c r="R26" s="60">
        <f t="shared" si="10"/>
        <v>21</v>
      </c>
      <c r="S26" s="61">
        <v>6</v>
      </c>
      <c r="T26" s="57">
        <v>5</v>
      </c>
      <c r="U26" s="57">
        <v>6</v>
      </c>
      <c r="V26" s="57">
        <v>5</v>
      </c>
      <c r="W26" s="57">
        <v>6</v>
      </c>
      <c r="X26" s="57">
        <v>6</v>
      </c>
      <c r="Y26" s="57">
        <v>7</v>
      </c>
      <c r="Z26" s="57">
        <v>7</v>
      </c>
      <c r="AA26" s="57">
        <v>9</v>
      </c>
      <c r="AB26" s="57">
        <v>7</v>
      </c>
      <c r="AC26" s="38">
        <f t="shared" si="1"/>
        <v>64</v>
      </c>
      <c r="AD26" s="59">
        <f t="shared" si="2"/>
        <v>64</v>
      </c>
      <c r="AE26" s="60">
        <f t="shared" si="3"/>
        <v>32</v>
      </c>
      <c r="AF26" s="139">
        <v>23</v>
      </c>
      <c r="AG26" s="59">
        <f t="shared" si="4"/>
        <v>76.67</v>
      </c>
      <c r="AH26" s="60">
        <f t="shared" si="5"/>
        <v>15.33</v>
      </c>
      <c r="AI26" s="62">
        <f t="shared" si="6"/>
        <v>68.33</v>
      </c>
      <c r="AJ26" s="63">
        <f t="shared" si="12"/>
        <v>80</v>
      </c>
      <c r="AK26" s="2"/>
      <c r="AL26" s="66" t="s">
        <v>39</v>
      </c>
      <c r="AM26" s="78">
        <f>MAX(AF12:AF52)</f>
        <v>28</v>
      </c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2"/>
      <c r="BF26" s="12">
        <f t="shared" si="8"/>
        <v>76.666666666666671</v>
      </c>
    </row>
    <row r="27" spans="1:58" ht="18" customHeight="1" thickBot="1">
      <c r="A27" s="134">
        <v>16</v>
      </c>
      <c r="B27" s="206" t="s">
        <v>117</v>
      </c>
      <c r="C27" s="207"/>
      <c r="D27" s="64"/>
      <c r="E27" s="65"/>
      <c r="F27" s="56">
        <v>5</v>
      </c>
      <c r="G27" s="56">
        <v>5</v>
      </c>
      <c r="H27" s="56">
        <v>5</v>
      </c>
      <c r="I27" s="56">
        <v>6</v>
      </c>
      <c r="J27" s="56">
        <v>6</v>
      </c>
      <c r="K27" s="56">
        <v>6</v>
      </c>
      <c r="L27" s="56">
        <v>6</v>
      </c>
      <c r="M27" s="56">
        <v>6</v>
      </c>
      <c r="N27" s="56">
        <v>6</v>
      </c>
      <c r="O27" s="56">
        <v>6</v>
      </c>
      <c r="P27" s="56">
        <f t="shared" si="0"/>
        <v>57</v>
      </c>
      <c r="Q27" s="59">
        <f t="shared" si="11"/>
        <v>57</v>
      </c>
      <c r="R27" s="60">
        <f t="shared" si="10"/>
        <v>17.100000000000001</v>
      </c>
      <c r="S27" s="61">
        <v>6</v>
      </c>
      <c r="T27" s="57">
        <v>5</v>
      </c>
      <c r="U27" s="57">
        <v>6</v>
      </c>
      <c r="V27" s="57">
        <v>6</v>
      </c>
      <c r="W27" s="57">
        <v>9</v>
      </c>
      <c r="X27" s="57">
        <v>8</v>
      </c>
      <c r="Y27" s="57">
        <v>7</v>
      </c>
      <c r="Z27" s="57">
        <v>7</v>
      </c>
      <c r="AA27" s="57">
        <v>9</v>
      </c>
      <c r="AB27" s="57">
        <v>7</v>
      </c>
      <c r="AC27" s="38">
        <f t="shared" si="1"/>
        <v>70</v>
      </c>
      <c r="AD27" s="59">
        <f t="shared" si="2"/>
        <v>70</v>
      </c>
      <c r="AE27" s="60">
        <f t="shared" si="3"/>
        <v>35</v>
      </c>
      <c r="AF27" s="139">
        <v>20</v>
      </c>
      <c r="AG27" s="59">
        <f t="shared" si="4"/>
        <v>66.67</v>
      </c>
      <c r="AH27" s="60">
        <f t="shared" si="5"/>
        <v>13.33</v>
      </c>
      <c r="AI27" s="62">
        <f t="shared" si="6"/>
        <v>65.430000000000007</v>
      </c>
      <c r="AJ27" s="63">
        <f t="shared" si="12"/>
        <v>78</v>
      </c>
      <c r="AK27" s="2"/>
      <c r="AL27" s="68" t="s">
        <v>40</v>
      </c>
      <c r="AM27" s="79">
        <f>MIN(AF12:AF76)</f>
        <v>8</v>
      </c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2"/>
      <c r="BF27" s="12">
        <f t="shared" si="8"/>
        <v>66.666666666666657</v>
      </c>
    </row>
    <row r="28" spans="1:58" ht="18" customHeight="1" thickBot="1">
      <c r="A28" s="134">
        <v>17</v>
      </c>
      <c r="B28" s="206" t="s">
        <v>118</v>
      </c>
      <c r="C28" s="207"/>
      <c r="D28" s="64"/>
      <c r="E28" s="65"/>
      <c r="F28" s="56">
        <v>6</v>
      </c>
      <c r="G28" s="56">
        <v>6</v>
      </c>
      <c r="H28" s="56">
        <v>6</v>
      </c>
      <c r="I28" s="56">
        <v>6</v>
      </c>
      <c r="J28" s="56">
        <v>7</v>
      </c>
      <c r="K28" s="56">
        <v>8</v>
      </c>
      <c r="L28" s="56">
        <v>9</v>
      </c>
      <c r="M28" s="56">
        <v>8</v>
      </c>
      <c r="N28" s="56">
        <v>5</v>
      </c>
      <c r="O28" s="56">
        <v>9</v>
      </c>
      <c r="P28" s="56">
        <f t="shared" si="0"/>
        <v>70</v>
      </c>
      <c r="Q28" s="59">
        <f t="shared" si="11"/>
        <v>70</v>
      </c>
      <c r="R28" s="60">
        <f t="shared" si="10"/>
        <v>21</v>
      </c>
      <c r="S28" s="61">
        <v>8</v>
      </c>
      <c r="T28" s="57">
        <v>5</v>
      </c>
      <c r="U28" s="57">
        <v>8</v>
      </c>
      <c r="V28" s="57">
        <v>6</v>
      </c>
      <c r="W28" s="57">
        <v>6</v>
      </c>
      <c r="X28" s="57">
        <v>6</v>
      </c>
      <c r="Y28" s="57">
        <v>8</v>
      </c>
      <c r="Z28" s="57">
        <v>7</v>
      </c>
      <c r="AA28" s="57">
        <v>9</v>
      </c>
      <c r="AB28" s="57">
        <v>7</v>
      </c>
      <c r="AC28" s="38">
        <f t="shared" si="1"/>
        <v>70</v>
      </c>
      <c r="AD28" s="59">
        <f t="shared" si="2"/>
        <v>70</v>
      </c>
      <c r="AE28" s="60">
        <f t="shared" si="3"/>
        <v>35</v>
      </c>
      <c r="AF28" s="139">
        <v>24</v>
      </c>
      <c r="AG28" s="59">
        <f t="shared" si="4"/>
        <v>80</v>
      </c>
      <c r="AH28" s="60">
        <f t="shared" si="5"/>
        <v>16</v>
      </c>
      <c r="AI28" s="62">
        <f t="shared" si="6"/>
        <v>72</v>
      </c>
      <c r="AJ28" s="63">
        <f t="shared" si="12"/>
        <v>82</v>
      </c>
      <c r="AK28" s="2"/>
      <c r="AL28" s="71" t="s">
        <v>41</v>
      </c>
      <c r="AM28" s="80">
        <f>SUM(AF12:AF52)</f>
        <v>903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2"/>
      <c r="BF28" s="12">
        <f t="shared" si="8"/>
        <v>80</v>
      </c>
    </row>
    <row r="29" spans="1:58" ht="18" customHeight="1" thickBot="1">
      <c r="A29" s="134">
        <v>18</v>
      </c>
      <c r="B29" s="206" t="s">
        <v>119</v>
      </c>
      <c r="C29" s="207"/>
      <c r="D29" s="64"/>
      <c r="E29" s="65"/>
      <c r="F29" s="56">
        <v>9</v>
      </c>
      <c r="G29" s="56">
        <v>8</v>
      </c>
      <c r="H29" s="56">
        <v>8</v>
      </c>
      <c r="I29" s="56">
        <v>8</v>
      </c>
      <c r="J29" s="56">
        <v>8</v>
      </c>
      <c r="K29" s="56">
        <v>8</v>
      </c>
      <c r="L29" s="56">
        <v>9</v>
      </c>
      <c r="M29" s="56">
        <v>8</v>
      </c>
      <c r="N29" s="56">
        <v>5</v>
      </c>
      <c r="O29" s="56">
        <v>9</v>
      </c>
      <c r="P29" s="56">
        <f t="shared" si="0"/>
        <v>80</v>
      </c>
      <c r="Q29" s="59">
        <f t="shared" si="11"/>
        <v>80</v>
      </c>
      <c r="R29" s="60">
        <f t="shared" si="10"/>
        <v>24</v>
      </c>
      <c r="S29" s="61">
        <v>9</v>
      </c>
      <c r="T29" s="57">
        <v>5</v>
      </c>
      <c r="U29" s="57">
        <v>8</v>
      </c>
      <c r="V29" s="57">
        <v>8</v>
      </c>
      <c r="W29" s="57">
        <v>9</v>
      </c>
      <c r="X29" s="57">
        <v>8</v>
      </c>
      <c r="Y29" s="57">
        <v>7</v>
      </c>
      <c r="Z29" s="57">
        <v>7</v>
      </c>
      <c r="AA29" s="57">
        <v>9</v>
      </c>
      <c r="AB29" s="57">
        <v>7</v>
      </c>
      <c r="AC29" s="38">
        <f t="shared" si="1"/>
        <v>77</v>
      </c>
      <c r="AD29" s="59">
        <f t="shared" si="2"/>
        <v>77</v>
      </c>
      <c r="AE29" s="60">
        <f t="shared" si="3"/>
        <v>38.5</v>
      </c>
      <c r="AF29" s="139">
        <v>18</v>
      </c>
      <c r="AG29" s="59">
        <f t="shared" si="4"/>
        <v>60</v>
      </c>
      <c r="AH29" s="60">
        <f t="shared" si="5"/>
        <v>12</v>
      </c>
      <c r="AI29" s="62">
        <f t="shared" si="6"/>
        <v>74.5</v>
      </c>
      <c r="AJ29" s="63">
        <f t="shared" si="12"/>
        <v>84</v>
      </c>
      <c r="AK29" s="2"/>
      <c r="AL29" s="4"/>
      <c r="AM29" s="2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2"/>
      <c r="BF29" s="12">
        <f t="shared" si="8"/>
        <v>60</v>
      </c>
    </row>
    <row r="30" spans="1:58" ht="18" customHeight="1" thickBot="1">
      <c r="A30" s="134">
        <v>19</v>
      </c>
      <c r="B30" s="206" t="s">
        <v>120</v>
      </c>
      <c r="C30" s="207"/>
      <c r="D30" s="64"/>
      <c r="E30" s="65"/>
      <c r="F30" s="56">
        <v>7</v>
      </c>
      <c r="G30" s="56">
        <v>6</v>
      </c>
      <c r="H30" s="56">
        <v>6</v>
      </c>
      <c r="I30" s="56">
        <v>6</v>
      </c>
      <c r="J30" s="56">
        <v>7</v>
      </c>
      <c r="K30" s="56">
        <v>6</v>
      </c>
      <c r="L30" s="56">
        <v>6</v>
      </c>
      <c r="M30" s="56">
        <v>6</v>
      </c>
      <c r="N30" s="56">
        <v>5</v>
      </c>
      <c r="O30" s="56">
        <v>9</v>
      </c>
      <c r="P30" s="56">
        <f t="shared" si="0"/>
        <v>64</v>
      </c>
      <c r="Q30" s="59">
        <f t="shared" si="11"/>
        <v>64</v>
      </c>
      <c r="R30" s="60">
        <f t="shared" si="10"/>
        <v>19.2</v>
      </c>
      <c r="S30" s="61">
        <v>9</v>
      </c>
      <c r="T30" s="57">
        <v>5</v>
      </c>
      <c r="U30" s="57">
        <v>8</v>
      </c>
      <c r="V30" s="57">
        <v>10</v>
      </c>
      <c r="W30" s="57">
        <v>10</v>
      </c>
      <c r="X30" s="57">
        <v>8</v>
      </c>
      <c r="Y30" s="57">
        <v>7</v>
      </c>
      <c r="Z30" s="57">
        <v>7</v>
      </c>
      <c r="AA30" s="57">
        <v>9</v>
      </c>
      <c r="AB30" s="57">
        <v>7</v>
      </c>
      <c r="AC30" s="38">
        <f t="shared" si="1"/>
        <v>80</v>
      </c>
      <c r="AD30" s="59">
        <f t="shared" si="2"/>
        <v>80</v>
      </c>
      <c r="AE30" s="60">
        <f t="shared" si="3"/>
        <v>40</v>
      </c>
      <c r="AF30" s="139">
        <v>18</v>
      </c>
      <c r="AG30" s="59">
        <f t="shared" si="4"/>
        <v>60</v>
      </c>
      <c r="AH30" s="60">
        <f t="shared" si="5"/>
        <v>12</v>
      </c>
      <c r="AI30" s="62">
        <f t="shared" si="6"/>
        <v>71.2</v>
      </c>
      <c r="AJ30" s="63">
        <f t="shared" si="12"/>
        <v>82</v>
      </c>
      <c r="AK30" s="2"/>
      <c r="AL30" s="16"/>
      <c r="AM30" s="2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2"/>
      <c r="BF30" s="12">
        <f t="shared" si="8"/>
        <v>60</v>
      </c>
    </row>
    <row r="31" spans="1:58" ht="18" customHeight="1" thickBot="1">
      <c r="A31" s="134">
        <v>20</v>
      </c>
      <c r="B31" s="246" t="s">
        <v>121</v>
      </c>
      <c r="C31" s="247"/>
      <c r="D31" s="64"/>
      <c r="E31" s="65"/>
      <c r="F31" s="56">
        <v>6</v>
      </c>
      <c r="G31" s="56">
        <v>6</v>
      </c>
      <c r="H31" s="56">
        <v>6</v>
      </c>
      <c r="I31" s="56">
        <v>6</v>
      </c>
      <c r="J31" s="56">
        <v>5</v>
      </c>
      <c r="K31" s="56">
        <v>6</v>
      </c>
      <c r="L31" s="56">
        <v>5</v>
      </c>
      <c r="M31" s="56">
        <v>4</v>
      </c>
      <c r="N31" s="56">
        <v>4</v>
      </c>
      <c r="O31" s="56">
        <v>9</v>
      </c>
      <c r="P31" s="56">
        <f t="shared" si="0"/>
        <v>57</v>
      </c>
      <c r="Q31" s="59">
        <f t="shared" si="11"/>
        <v>57</v>
      </c>
      <c r="R31" s="60">
        <f t="shared" si="10"/>
        <v>17.100000000000001</v>
      </c>
      <c r="S31" s="61">
        <v>6</v>
      </c>
      <c r="T31" s="57">
        <v>5</v>
      </c>
      <c r="U31" s="57">
        <v>6</v>
      </c>
      <c r="V31" s="57">
        <v>6</v>
      </c>
      <c r="W31" s="57">
        <v>9</v>
      </c>
      <c r="X31" s="57">
        <v>8</v>
      </c>
      <c r="Y31" s="57">
        <v>7</v>
      </c>
      <c r="Z31" s="57">
        <v>7</v>
      </c>
      <c r="AA31" s="57">
        <v>9</v>
      </c>
      <c r="AB31" s="57">
        <v>7</v>
      </c>
      <c r="AC31" s="38">
        <f t="shared" si="1"/>
        <v>70</v>
      </c>
      <c r="AD31" s="59">
        <f t="shared" si="2"/>
        <v>70</v>
      </c>
      <c r="AE31" s="60">
        <f t="shared" si="3"/>
        <v>35</v>
      </c>
      <c r="AF31" s="139">
        <v>20</v>
      </c>
      <c r="AG31" s="59">
        <f t="shared" si="4"/>
        <v>66.67</v>
      </c>
      <c r="AH31" s="60">
        <f t="shared" si="5"/>
        <v>13.33</v>
      </c>
      <c r="AI31" s="62">
        <f t="shared" si="6"/>
        <v>65.430000000000007</v>
      </c>
      <c r="AJ31" s="63">
        <f t="shared" si="12"/>
        <v>78</v>
      </c>
      <c r="AK31" s="2"/>
      <c r="AL31" s="4"/>
      <c r="AM31" s="2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2"/>
      <c r="BF31" s="12">
        <f t="shared" si="8"/>
        <v>66.666666666666657</v>
      </c>
    </row>
    <row r="32" spans="1:58" ht="18" customHeight="1" thickBot="1">
      <c r="A32" s="17"/>
      <c r="B32" s="123" t="s">
        <v>11</v>
      </c>
      <c r="C32" s="85"/>
      <c r="D32" s="85"/>
      <c r="E32" s="85"/>
      <c r="F32" s="81"/>
      <c r="G32" s="82"/>
      <c r="H32" s="82"/>
      <c r="I32" s="82"/>
      <c r="J32" s="82"/>
      <c r="K32" s="82"/>
      <c r="L32" s="82"/>
      <c r="M32" s="82"/>
      <c r="N32" s="82"/>
      <c r="O32" s="83"/>
      <c r="P32" s="84"/>
      <c r="Q32" s="84"/>
      <c r="R32" s="137"/>
      <c r="S32" s="137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52"/>
      <c r="AJ32" s="53"/>
    </row>
    <row r="33" spans="1:58" ht="18" customHeight="1" thickBot="1">
      <c r="A33" s="133">
        <v>1</v>
      </c>
      <c r="B33" s="248" t="s">
        <v>122</v>
      </c>
      <c r="C33" s="249"/>
      <c r="D33" s="14"/>
      <c r="E33" s="15"/>
      <c r="F33" s="56">
        <v>9</v>
      </c>
      <c r="G33" s="56">
        <v>9</v>
      </c>
      <c r="H33" s="57">
        <v>8</v>
      </c>
      <c r="I33" s="57">
        <v>8</v>
      </c>
      <c r="J33" s="57">
        <v>7</v>
      </c>
      <c r="K33" s="56">
        <v>6</v>
      </c>
      <c r="L33" s="56">
        <v>8</v>
      </c>
      <c r="M33" s="57">
        <v>9</v>
      </c>
      <c r="N33" s="57">
        <v>9</v>
      </c>
      <c r="O33" s="57">
        <v>7</v>
      </c>
      <c r="P33" s="58">
        <f t="shared" ref="P33:P52" si="13">IF(COUNT($F33:$O33)=0,"",SUM($F33:$O33))</f>
        <v>80</v>
      </c>
      <c r="Q33" s="59">
        <f t="shared" ref="Q33:Q52" si="14">IF(ISERROR(IF($P33="","",ROUND(($P33/$P$10)*$Q$10,2))),"",IF($P33="","",ROUND(($P33/$P$10)*$Q$10,2)))</f>
        <v>80</v>
      </c>
      <c r="R33" s="60">
        <f t="shared" ref="R33:R52" si="15">IF($Q33="","",ROUND($Q33*$R$10,2))</f>
        <v>24</v>
      </c>
      <c r="S33" s="61">
        <v>8</v>
      </c>
      <c r="T33" s="57">
        <v>8</v>
      </c>
      <c r="U33" s="57">
        <v>9</v>
      </c>
      <c r="V33" s="57">
        <v>9</v>
      </c>
      <c r="W33" s="57">
        <v>8</v>
      </c>
      <c r="X33" s="57">
        <v>6</v>
      </c>
      <c r="Y33" s="57">
        <v>9</v>
      </c>
      <c r="Z33" s="57">
        <v>6</v>
      </c>
      <c r="AA33" s="57">
        <v>6</v>
      </c>
      <c r="AB33" s="57">
        <v>6</v>
      </c>
      <c r="AC33" s="38">
        <f t="shared" ref="AC33:AC52" si="16">IF(COUNT($S33:$AB33)=0,"",SUM($S33:$AB33))</f>
        <v>75</v>
      </c>
      <c r="AD33" s="59">
        <f t="shared" ref="AD33:AD52" si="17">IF(ISERROR(IF($AC33="","",ROUND(($AC33/$AC$10)*$AD$10,2))),"",IF($AC33="","",ROUND(($AC33/$AC$10)*$AD$10,2)))</f>
        <v>75</v>
      </c>
      <c r="AE33" s="60">
        <f t="shared" ref="AE33:AE52" si="18">IF($AD33="","",ROUND($AD33*$AE$10,2))</f>
        <v>37.5</v>
      </c>
      <c r="AF33" s="139">
        <v>20</v>
      </c>
      <c r="AG33" s="59">
        <f t="shared" ref="AG33:AG52" si="19">IF(ISERROR(IF($AF33="","",ROUND(($AF33/$AF$10)*$AG$10,2))),"",IF($AF33="","",ROUND(($AF33/$AF$10)*$AG$10,2)))</f>
        <v>66.67</v>
      </c>
      <c r="AH33" s="60">
        <f t="shared" ref="AH33:AH52" si="20">IF($AG33="","",ROUND($AG33*$AH$10,2))</f>
        <v>13.33</v>
      </c>
      <c r="AI33" s="62">
        <f t="shared" ref="AI33:AI52" si="21">IF(ISERROR(IF($AF33="","",ROUND(SUM($R33,$AE33,$AH33),2))),"",IF($AF33="","",ROUND(SUM($R33,$AE33,$AH33),2)))</f>
        <v>74.83</v>
      </c>
      <c r="AJ33" s="63">
        <f t="shared" ref="AJ33:AJ52" si="22">IF(ISERROR(IF($AF33="","",VLOOKUP(AI33,TRANSMUTATION_TABLE,4,TRUE))),"",IF($AF33="","",VLOOKUP(AI33,TRANSMUTATION_TABLE,4,TRUE)))</f>
        <v>84</v>
      </c>
    </row>
    <row r="34" spans="1:58" ht="18" customHeight="1" thickBot="1">
      <c r="A34" s="134">
        <v>2</v>
      </c>
      <c r="B34" s="250" t="s">
        <v>123</v>
      </c>
      <c r="C34" s="251"/>
      <c r="D34" s="64"/>
      <c r="E34" s="65"/>
      <c r="F34" s="56">
        <v>9</v>
      </c>
      <c r="G34" s="56">
        <v>6</v>
      </c>
      <c r="H34" s="57">
        <v>6</v>
      </c>
      <c r="I34" s="57">
        <v>6</v>
      </c>
      <c r="J34" s="57">
        <v>6</v>
      </c>
      <c r="K34" s="56">
        <v>8</v>
      </c>
      <c r="L34" s="56">
        <v>9</v>
      </c>
      <c r="M34" s="57">
        <v>9</v>
      </c>
      <c r="N34" s="57">
        <v>10</v>
      </c>
      <c r="O34" s="57">
        <v>10</v>
      </c>
      <c r="P34" s="58">
        <f t="shared" si="13"/>
        <v>79</v>
      </c>
      <c r="Q34" s="59">
        <f t="shared" si="14"/>
        <v>79</v>
      </c>
      <c r="R34" s="60">
        <f t="shared" si="15"/>
        <v>23.7</v>
      </c>
      <c r="S34" s="61">
        <v>8</v>
      </c>
      <c r="T34" s="57">
        <v>6</v>
      </c>
      <c r="U34" s="57">
        <v>10</v>
      </c>
      <c r="V34" s="57">
        <v>6</v>
      </c>
      <c r="W34" s="57">
        <v>8</v>
      </c>
      <c r="X34" s="57">
        <v>7</v>
      </c>
      <c r="Y34" s="57">
        <v>7</v>
      </c>
      <c r="Z34" s="57">
        <v>6</v>
      </c>
      <c r="AA34" s="57">
        <v>6</v>
      </c>
      <c r="AB34" s="57">
        <v>8</v>
      </c>
      <c r="AC34" s="38">
        <f t="shared" si="16"/>
        <v>72</v>
      </c>
      <c r="AD34" s="59">
        <f t="shared" si="17"/>
        <v>72</v>
      </c>
      <c r="AE34" s="60">
        <f t="shared" si="18"/>
        <v>36</v>
      </c>
      <c r="AF34" s="139">
        <v>26</v>
      </c>
      <c r="AG34" s="59">
        <f t="shared" si="19"/>
        <v>86.67</v>
      </c>
      <c r="AH34" s="60">
        <f t="shared" si="20"/>
        <v>17.329999999999998</v>
      </c>
      <c r="AI34" s="62">
        <f t="shared" si="21"/>
        <v>77.03</v>
      </c>
      <c r="AJ34" s="63">
        <f t="shared" si="22"/>
        <v>85</v>
      </c>
      <c r="AK34" s="2"/>
      <c r="AL34" s="4"/>
      <c r="AM34" s="2"/>
      <c r="AN34" s="3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12" t="e">
        <f>(#REF!/$AF$10)*100</f>
        <v>#REF!</v>
      </c>
    </row>
    <row r="35" spans="1:58" ht="18" customHeight="1" thickBot="1">
      <c r="A35" s="134">
        <v>3</v>
      </c>
      <c r="B35" s="250" t="s">
        <v>124</v>
      </c>
      <c r="C35" s="251"/>
      <c r="D35" s="64"/>
      <c r="E35" s="65"/>
      <c r="F35" s="56">
        <v>6</v>
      </c>
      <c r="G35" s="56">
        <v>6</v>
      </c>
      <c r="H35" s="57">
        <v>6</v>
      </c>
      <c r="I35" s="57">
        <v>6</v>
      </c>
      <c r="J35" s="57">
        <v>8</v>
      </c>
      <c r="K35" s="56">
        <v>8</v>
      </c>
      <c r="L35" s="56">
        <v>8</v>
      </c>
      <c r="M35" s="57">
        <v>8</v>
      </c>
      <c r="N35" s="57">
        <v>9</v>
      </c>
      <c r="O35" s="57">
        <v>10</v>
      </c>
      <c r="P35" s="58">
        <f t="shared" si="13"/>
        <v>75</v>
      </c>
      <c r="Q35" s="59">
        <f t="shared" si="14"/>
        <v>75</v>
      </c>
      <c r="R35" s="60">
        <f t="shared" si="15"/>
        <v>22.5</v>
      </c>
      <c r="S35" s="61">
        <v>6</v>
      </c>
      <c r="T35" s="57">
        <v>6</v>
      </c>
      <c r="U35" s="57">
        <v>10</v>
      </c>
      <c r="V35" s="57">
        <v>10</v>
      </c>
      <c r="W35" s="57">
        <v>5</v>
      </c>
      <c r="X35" s="57">
        <v>6</v>
      </c>
      <c r="Y35" s="57">
        <v>7</v>
      </c>
      <c r="Z35" s="57">
        <v>6</v>
      </c>
      <c r="AA35" s="57">
        <v>8</v>
      </c>
      <c r="AB35" s="57">
        <v>10</v>
      </c>
      <c r="AC35" s="38">
        <f t="shared" si="16"/>
        <v>74</v>
      </c>
      <c r="AD35" s="59">
        <f t="shared" si="17"/>
        <v>74</v>
      </c>
      <c r="AE35" s="60">
        <f t="shared" si="18"/>
        <v>37</v>
      </c>
      <c r="AF35" s="139">
        <v>27</v>
      </c>
      <c r="AG35" s="59">
        <f t="shared" si="19"/>
        <v>90</v>
      </c>
      <c r="AH35" s="60">
        <f t="shared" si="20"/>
        <v>18</v>
      </c>
      <c r="AI35" s="62">
        <f t="shared" si="21"/>
        <v>77.5</v>
      </c>
      <c r="AJ35" s="63">
        <f t="shared" si="22"/>
        <v>85</v>
      </c>
      <c r="AK35" s="2"/>
      <c r="AL35" s="4"/>
      <c r="AM35" s="2"/>
      <c r="AN35" s="3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12" t="e">
        <f>(#REF!/$AF$10)*100</f>
        <v>#REF!</v>
      </c>
    </row>
    <row r="36" spans="1:58" ht="18" customHeight="1" thickBot="1">
      <c r="A36" s="134">
        <v>4</v>
      </c>
      <c r="B36" s="250" t="s">
        <v>125</v>
      </c>
      <c r="C36" s="251"/>
      <c r="D36" s="64"/>
      <c r="E36" s="65"/>
      <c r="F36" s="56">
        <v>10</v>
      </c>
      <c r="G36" s="56">
        <v>9</v>
      </c>
      <c r="H36" s="57">
        <v>8</v>
      </c>
      <c r="I36" s="57">
        <v>7</v>
      </c>
      <c r="J36" s="57">
        <v>8</v>
      </c>
      <c r="K36" s="56">
        <v>9</v>
      </c>
      <c r="L36" s="56">
        <v>8</v>
      </c>
      <c r="M36" s="57">
        <v>9</v>
      </c>
      <c r="N36" s="57">
        <v>8</v>
      </c>
      <c r="O36" s="57">
        <v>10</v>
      </c>
      <c r="P36" s="58">
        <f t="shared" si="13"/>
        <v>86</v>
      </c>
      <c r="Q36" s="59">
        <f t="shared" si="14"/>
        <v>86</v>
      </c>
      <c r="R36" s="60">
        <f t="shared" si="15"/>
        <v>25.8</v>
      </c>
      <c r="S36" s="61">
        <v>6</v>
      </c>
      <c r="T36" s="57">
        <v>6</v>
      </c>
      <c r="U36" s="57">
        <v>5</v>
      </c>
      <c r="V36" s="57">
        <v>4</v>
      </c>
      <c r="W36" s="57">
        <v>6</v>
      </c>
      <c r="X36" s="57">
        <v>10</v>
      </c>
      <c r="Y36" s="57">
        <v>6</v>
      </c>
      <c r="Z36" s="57">
        <v>6</v>
      </c>
      <c r="AA36" s="57">
        <v>6</v>
      </c>
      <c r="AB36" s="57">
        <v>10</v>
      </c>
      <c r="AC36" s="38">
        <f t="shared" si="16"/>
        <v>65</v>
      </c>
      <c r="AD36" s="59">
        <f t="shared" si="17"/>
        <v>65</v>
      </c>
      <c r="AE36" s="60">
        <f t="shared" si="18"/>
        <v>32.5</v>
      </c>
      <c r="AF36" s="139">
        <v>28</v>
      </c>
      <c r="AG36" s="59">
        <f t="shared" si="19"/>
        <v>93.33</v>
      </c>
      <c r="AH36" s="60">
        <f t="shared" si="20"/>
        <v>18.670000000000002</v>
      </c>
      <c r="AI36" s="62">
        <f t="shared" si="21"/>
        <v>76.97</v>
      </c>
      <c r="AJ36" s="63">
        <f t="shared" si="22"/>
        <v>85</v>
      </c>
      <c r="AK36" s="2"/>
      <c r="AL36" s="4"/>
      <c r="AM36" s="2"/>
      <c r="AN36" s="3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12" t="e">
        <f>(#REF!/$AF$10)*100</f>
        <v>#REF!</v>
      </c>
    </row>
    <row r="37" spans="1:58" ht="18" customHeight="1" thickBot="1">
      <c r="A37" s="134">
        <v>5</v>
      </c>
      <c r="B37" s="250" t="s">
        <v>126</v>
      </c>
      <c r="C37" s="251"/>
      <c r="D37" s="64"/>
      <c r="E37" s="65"/>
      <c r="F37" s="56">
        <v>10</v>
      </c>
      <c r="G37" s="56">
        <v>10</v>
      </c>
      <c r="H37" s="57">
        <v>9</v>
      </c>
      <c r="I37" s="57">
        <v>10</v>
      </c>
      <c r="J37" s="57">
        <v>9</v>
      </c>
      <c r="K37" s="56">
        <v>9</v>
      </c>
      <c r="L37" s="56">
        <v>10</v>
      </c>
      <c r="M37" s="57">
        <v>10</v>
      </c>
      <c r="N37" s="57">
        <v>10</v>
      </c>
      <c r="O37" s="57">
        <v>6</v>
      </c>
      <c r="P37" s="58">
        <f t="shared" si="13"/>
        <v>93</v>
      </c>
      <c r="Q37" s="59">
        <f t="shared" si="14"/>
        <v>93</v>
      </c>
      <c r="R37" s="60">
        <f t="shared" si="15"/>
        <v>27.9</v>
      </c>
      <c r="S37" s="61">
        <v>9</v>
      </c>
      <c r="T37" s="57">
        <v>7</v>
      </c>
      <c r="U37" s="57">
        <v>7</v>
      </c>
      <c r="V37" s="57">
        <v>7</v>
      </c>
      <c r="W37" s="57">
        <v>9</v>
      </c>
      <c r="X37" s="57">
        <v>7</v>
      </c>
      <c r="Y37" s="57">
        <v>7</v>
      </c>
      <c r="Z37" s="57">
        <v>8</v>
      </c>
      <c r="AA37" s="57">
        <v>8</v>
      </c>
      <c r="AB37" s="57">
        <v>9</v>
      </c>
      <c r="AC37" s="38">
        <f t="shared" si="16"/>
        <v>78</v>
      </c>
      <c r="AD37" s="59">
        <f t="shared" si="17"/>
        <v>78</v>
      </c>
      <c r="AE37" s="60">
        <f t="shared" si="18"/>
        <v>39</v>
      </c>
      <c r="AF37" s="139">
        <v>26</v>
      </c>
      <c r="AG37" s="59">
        <f t="shared" si="19"/>
        <v>86.67</v>
      </c>
      <c r="AH37" s="60">
        <f t="shared" si="20"/>
        <v>17.329999999999998</v>
      </c>
      <c r="AI37" s="62">
        <f t="shared" si="21"/>
        <v>84.23</v>
      </c>
      <c r="AJ37" s="63">
        <f t="shared" si="22"/>
        <v>90</v>
      </c>
      <c r="AK37" s="2"/>
      <c r="AL37" s="4"/>
      <c r="AM37" s="2"/>
      <c r="AN37" s="3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12" t="e">
        <f>(#REF!/$AF$10)*100</f>
        <v>#REF!</v>
      </c>
    </row>
    <row r="38" spans="1:58" ht="18" customHeight="1" thickBot="1">
      <c r="A38" s="134">
        <v>6</v>
      </c>
      <c r="B38" s="250" t="s">
        <v>127</v>
      </c>
      <c r="C38" s="251"/>
      <c r="D38" s="64"/>
      <c r="E38" s="65"/>
      <c r="F38" s="56">
        <v>10</v>
      </c>
      <c r="G38" s="56">
        <v>10</v>
      </c>
      <c r="H38" s="57">
        <v>10</v>
      </c>
      <c r="I38" s="57">
        <v>10</v>
      </c>
      <c r="J38" s="57">
        <v>9</v>
      </c>
      <c r="K38" s="56">
        <v>10</v>
      </c>
      <c r="L38" s="56">
        <v>10</v>
      </c>
      <c r="M38" s="57">
        <v>10</v>
      </c>
      <c r="N38" s="57">
        <v>10</v>
      </c>
      <c r="O38" s="57">
        <v>10</v>
      </c>
      <c r="P38" s="58">
        <f t="shared" si="13"/>
        <v>99</v>
      </c>
      <c r="Q38" s="59">
        <f t="shared" si="14"/>
        <v>99</v>
      </c>
      <c r="R38" s="60">
        <f t="shared" si="15"/>
        <v>29.7</v>
      </c>
      <c r="S38" s="61">
        <v>8</v>
      </c>
      <c r="T38" s="57">
        <v>8</v>
      </c>
      <c r="U38" s="57">
        <v>9</v>
      </c>
      <c r="V38" s="57">
        <v>9</v>
      </c>
      <c r="W38" s="57">
        <v>8</v>
      </c>
      <c r="X38" s="57">
        <v>10</v>
      </c>
      <c r="Y38" s="57">
        <v>6</v>
      </c>
      <c r="Z38" s="57">
        <v>9</v>
      </c>
      <c r="AA38" s="57">
        <v>9</v>
      </c>
      <c r="AB38" s="57">
        <v>6</v>
      </c>
      <c r="AC38" s="38">
        <f t="shared" si="16"/>
        <v>82</v>
      </c>
      <c r="AD38" s="59">
        <f t="shared" si="17"/>
        <v>82</v>
      </c>
      <c r="AE38" s="60">
        <f t="shared" si="18"/>
        <v>41</v>
      </c>
      <c r="AF38" s="139">
        <v>20</v>
      </c>
      <c r="AG38" s="59">
        <f t="shared" si="19"/>
        <v>66.67</v>
      </c>
      <c r="AH38" s="60">
        <f t="shared" si="20"/>
        <v>13.33</v>
      </c>
      <c r="AI38" s="62">
        <f t="shared" si="21"/>
        <v>84.03</v>
      </c>
      <c r="AJ38" s="63">
        <f t="shared" si="22"/>
        <v>90</v>
      </c>
      <c r="AK38" s="2"/>
      <c r="AL38" s="4"/>
      <c r="AM38" s="2"/>
      <c r="AN38" s="3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12">
        <f t="shared" ref="BF38:BF54" si="23">(AF32/$AF$10)*100</f>
        <v>0</v>
      </c>
    </row>
    <row r="39" spans="1:58" ht="18" customHeight="1" thickBot="1">
      <c r="A39" s="134">
        <v>7</v>
      </c>
      <c r="B39" s="250" t="s">
        <v>128</v>
      </c>
      <c r="C39" s="251"/>
      <c r="D39" s="64"/>
      <c r="E39" s="65"/>
      <c r="F39" s="56">
        <v>8</v>
      </c>
      <c r="G39" s="56">
        <v>8</v>
      </c>
      <c r="H39" s="57">
        <v>6</v>
      </c>
      <c r="I39" s="57">
        <v>6</v>
      </c>
      <c r="J39" s="57">
        <v>7</v>
      </c>
      <c r="K39" s="56">
        <v>5</v>
      </c>
      <c r="L39" s="56">
        <v>6</v>
      </c>
      <c r="M39" s="57">
        <v>6</v>
      </c>
      <c r="N39" s="57">
        <v>6</v>
      </c>
      <c r="O39" s="57">
        <v>6</v>
      </c>
      <c r="P39" s="58">
        <f t="shared" si="13"/>
        <v>64</v>
      </c>
      <c r="Q39" s="59">
        <f t="shared" si="14"/>
        <v>64</v>
      </c>
      <c r="R39" s="60">
        <f t="shared" si="15"/>
        <v>19.2</v>
      </c>
      <c r="S39" s="61">
        <v>7</v>
      </c>
      <c r="T39" s="57">
        <v>8</v>
      </c>
      <c r="U39" s="57">
        <v>8</v>
      </c>
      <c r="V39" s="57">
        <v>8</v>
      </c>
      <c r="W39" s="57">
        <v>8</v>
      </c>
      <c r="X39" s="57">
        <v>7</v>
      </c>
      <c r="Y39" s="57">
        <v>10</v>
      </c>
      <c r="Z39" s="57">
        <v>6</v>
      </c>
      <c r="AA39" s="57">
        <v>10</v>
      </c>
      <c r="AB39" s="57">
        <v>10</v>
      </c>
      <c r="AC39" s="38">
        <f t="shared" si="16"/>
        <v>82</v>
      </c>
      <c r="AD39" s="59">
        <f t="shared" si="17"/>
        <v>82</v>
      </c>
      <c r="AE39" s="60">
        <f t="shared" si="18"/>
        <v>41</v>
      </c>
      <c r="AF39" s="139">
        <v>25</v>
      </c>
      <c r="AG39" s="59">
        <f t="shared" si="19"/>
        <v>83.33</v>
      </c>
      <c r="AH39" s="60">
        <f t="shared" si="20"/>
        <v>16.670000000000002</v>
      </c>
      <c r="AI39" s="62">
        <f t="shared" si="21"/>
        <v>76.87</v>
      </c>
      <c r="AJ39" s="63">
        <f t="shared" si="22"/>
        <v>85</v>
      </c>
      <c r="AK39" s="2"/>
      <c r="AL39" s="4"/>
      <c r="AM39" s="2"/>
      <c r="AN39" s="3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12">
        <f t="shared" si="23"/>
        <v>66.666666666666657</v>
      </c>
    </row>
    <row r="40" spans="1:58" ht="18" customHeight="1" thickBot="1">
      <c r="A40" s="134">
        <v>8</v>
      </c>
      <c r="B40" s="250" t="s">
        <v>129</v>
      </c>
      <c r="C40" s="251"/>
      <c r="D40" s="64"/>
      <c r="E40" s="65"/>
      <c r="F40" s="56">
        <v>4</v>
      </c>
      <c r="G40" s="56">
        <v>8</v>
      </c>
      <c r="H40" s="57">
        <v>6</v>
      </c>
      <c r="I40" s="57">
        <v>6</v>
      </c>
      <c r="J40" s="57">
        <v>4</v>
      </c>
      <c r="K40" s="56">
        <v>5</v>
      </c>
      <c r="L40" s="56">
        <v>6</v>
      </c>
      <c r="M40" s="57">
        <v>5</v>
      </c>
      <c r="N40" s="57">
        <v>10</v>
      </c>
      <c r="O40" s="57">
        <v>10</v>
      </c>
      <c r="P40" s="58">
        <f t="shared" si="13"/>
        <v>64</v>
      </c>
      <c r="Q40" s="59">
        <f t="shared" si="14"/>
        <v>64</v>
      </c>
      <c r="R40" s="60">
        <f t="shared" si="15"/>
        <v>19.2</v>
      </c>
      <c r="S40" s="61">
        <v>6</v>
      </c>
      <c r="T40" s="57">
        <v>6</v>
      </c>
      <c r="U40" s="57">
        <v>4</v>
      </c>
      <c r="V40" s="57">
        <v>8</v>
      </c>
      <c r="W40" s="57">
        <v>8</v>
      </c>
      <c r="X40" s="57">
        <v>5</v>
      </c>
      <c r="Y40" s="57">
        <v>8</v>
      </c>
      <c r="Z40" s="57">
        <v>6</v>
      </c>
      <c r="AA40" s="57">
        <v>10</v>
      </c>
      <c r="AB40" s="57">
        <v>10</v>
      </c>
      <c r="AC40" s="38">
        <f t="shared" si="16"/>
        <v>71</v>
      </c>
      <c r="AD40" s="59">
        <f t="shared" si="17"/>
        <v>71</v>
      </c>
      <c r="AE40" s="60">
        <f t="shared" si="18"/>
        <v>35.5</v>
      </c>
      <c r="AF40" s="139">
        <v>18</v>
      </c>
      <c r="AG40" s="59">
        <f t="shared" si="19"/>
        <v>60</v>
      </c>
      <c r="AH40" s="60">
        <f t="shared" si="20"/>
        <v>12</v>
      </c>
      <c r="AI40" s="62">
        <f t="shared" si="21"/>
        <v>66.7</v>
      </c>
      <c r="AJ40" s="63">
        <f t="shared" si="22"/>
        <v>79</v>
      </c>
      <c r="AK40" s="2"/>
      <c r="AL40" s="4"/>
      <c r="AM40" s="2"/>
      <c r="AN40" s="3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12">
        <f t="shared" si="23"/>
        <v>86.666666666666671</v>
      </c>
    </row>
    <row r="41" spans="1:58" ht="18" customHeight="1" thickBot="1">
      <c r="A41" s="134">
        <v>9</v>
      </c>
      <c r="B41" s="250" t="s">
        <v>130</v>
      </c>
      <c r="C41" s="251"/>
      <c r="D41" s="64"/>
      <c r="E41" s="65"/>
      <c r="F41" s="56">
        <v>8</v>
      </c>
      <c r="G41" s="56">
        <v>8</v>
      </c>
      <c r="H41" s="57">
        <v>7</v>
      </c>
      <c r="I41" s="57">
        <v>9</v>
      </c>
      <c r="J41" s="57">
        <v>9</v>
      </c>
      <c r="K41" s="56">
        <v>9</v>
      </c>
      <c r="L41" s="56">
        <v>9</v>
      </c>
      <c r="M41" s="57">
        <v>8</v>
      </c>
      <c r="N41" s="57">
        <v>9</v>
      </c>
      <c r="O41" s="57">
        <v>9</v>
      </c>
      <c r="P41" s="58">
        <f t="shared" si="13"/>
        <v>85</v>
      </c>
      <c r="Q41" s="59">
        <f t="shared" si="14"/>
        <v>85</v>
      </c>
      <c r="R41" s="60">
        <f t="shared" si="15"/>
        <v>25.5</v>
      </c>
      <c r="S41" s="61">
        <v>9</v>
      </c>
      <c r="T41" s="57">
        <v>9</v>
      </c>
      <c r="U41" s="57">
        <v>9</v>
      </c>
      <c r="V41" s="57">
        <v>8</v>
      </c>
      <c r="W41" s="57">
        <v>8</v>
      </c>
      <c r="X41" s="57">
        <v>9</v>
      </c>
      <c r="Y41" s="57">
        <v>8</v>
      </c>
      <c r="Z41" s="57">
        <v>8</v>
      </c>
      <c r="AA41" s="57">
        <v>8</v>
      </c>
      <c r="AB41" s="57">
        <v>7</v>
      </c>
      <c r="AC41" s="38">
        <f t="shared" si="16"/>
        <v>83</v>
      </c>
      <c r="AD41" s="59">
        <f t="shared" si="17"/>
        <v>83</v>
      </c>
      <c r="AE41" s="60">
        <f t="shared" si="18"/>
        <v>41.5</v>
      </c>
      <c r="AF41" s="139">
        <v>26</v>
      </c>
      <c r="AG41" s="59">
        <f t="shared" si="19"/>
        <v>86.67</v>
      </c>
      <c r="AH41" s="60">
        <f t="shared" si="20"/>
        <v>17.329999999999998</v>
      </c>
      <c r="AI41" s="62">
        <f t="shared" si="21"/>
        <v>84.33</v>
      </c>
      <c r="AJ41" s="63">
        <f t="shared" si="22"/>
        <v>90</v>
      </c>
      <c r="AK41" s="2"/>
      <c r="AL41" s="4"/>
      <c r="AM41" s="2"/>
      <c r="AN41" s="3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12">
        <f t="shared" si="23"/>
        <v>90</v>
      </c>
    </row>
    <row r="42" spans="1:58" ht="18" customHeight="1" thickBot="1">
      <c r="A42" s="134">
        <v>10</v>
      </c>
      <c r="B42" s="250" t="s">
        <v>131</v>
      </c>
      <c r="C42" s="251"/>
      <c r="D42" s="64"/>
      <c r="E42" s="65"/>
      <c r="F42" s="56">
        <v>9</v>
      </c>
      <c r="G42" s="56">
        <v>9</v>
      </c>
      <c r="H42" s="57">
        <v>9</v>
      </c>
      <c r="I42" s="57">
        <v>8</v>
      </c>
      <c r="J42" s="57">
        <v>5</v>
      </c>
      <c r="K42" s="56">
        <v>6</v>
      </c>
      <c r="L42" s="56">
        <v>6</v>
      </c>
      <c r="M42" s="57">
        <v>4</v>
      </c>
      <c r="N42" s="57">
        <v>6</v>
      </c>
      <c r="O42" s="57">
        <v>6</v>
      </c>
      <c r="P42" s="58">
        <f t="shared" si="13"/>
        <v>68</v>
      </c>
      <c r="Q42" s="59">
        <f t="shared" si="14"/>
        <v>68</v>
      </c>
      <c r="R42" s="60">
        <f t="shared" si="15"/>
        <v>20.399999999999999</v>
      </c>
      <c r="S42" s="61">
        <v>9</v>
      </c>
      <c r="T42" s="57">
        <v>8</v>
      </c>
      <c r="U42" s="57">
        <v>8</v>
      </c>
      <c r="V42" s="57">
        <v>8</v>
      </c>
      <c r="W42" s="57">
        <v>5</v>
      </c>
      <c r="X42" s="57">
        <v>6</v>
      </c>
      <c r="Y42" s="57">
        <v>8</v>
      </c>
      <c r="Z42" s="57">
        <v>8</v>
      </c>
      <c r="AA42" s="57">
        <v>8</v>
      </c>
      <c r="AB42" s="57">
        <v>10</v>
      </c>
      <c r="AC42" s="38">
        <f t="shared" si="16"/>
        <v>78</v>
      </c>
      <c r="AD42" s="59">
        <f t="shared" si="17"/>
        <v>78</v>
      </c>
      <c r="AE42" s="60">
        <f t="shared" si="18"/>
        <v>39</v>
      </c>
      <c r="AF42" s="139">
        <v>26</v>
      </c>
      <c r="AG42" s="59">
        <f t="shared" si="19"/>
        <v>86.67</v>
      </c>
      <c r="AH42" s="60">
        <f t="shared" si="20"/>
        <v>17.329999999999998</v>
      </c>
      <c r="AI42" s="62">
        <f t="shared" si="21"/>
        <v>76.73</v>
      </c>
      <c r="AJ42" s="63">
        <f t="shared" si="22"/>
        <v>85</v>
      </c>
      <c r="AK42" s="2"/>
      <c r="AL42" s="4"/>
      <c r="AM42" s="2"/>
      <c r="AN42" s="3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12">
        <f t="shared" si="23"/>
        <v>93.333333333333329</v>
      </c>
    </row>
    <row r="43" spans="1:58" ht="18" customHeight="1" thickBot="1">
      <c r="A43" s="134">
        <v>11</v>
      </c>
      <c r="B43" s="250" t="s">
        <v>132</v>
      </c>
      <c r="C43" s="251"/>
      <c r="D43" s="64"/>
      <c r="E43" s="65"/>
      <c r="F43" s="56">
        <v>8</v>
      </c>
      <c r="G43" s="56">
        <v>8</v>
      </c>
      <c r="H43" s="57">
        <v>6</v>
      </c>
      <c r="I43" s="57">
        <v>8</v>
      </c>
      <c r="J43" s="57">
        <v>8</v>
      </c>
      <c r="K43" s="56">
        <v>10</v>
      </c>
      <c r="L43" s="56">
        <v>7</v>
      </c>
      <c r="M43" s="57">
        <v>8</v>
      </c>
      <c r="N43" s="57">
        <v>9</v>
      </c>
      <c r="O43" s="57">
        <v>9</v>
      </c>
      <c r="P43" s="58">
        <f t="shared" si="13"/>
        <v>81</v>
      </c>
      <c r="Q43" s="59">
        <f t="shared" si="14"/>
        <v>81</v>
      </c>
      <c r="R43" s="60">
        <f t="shared" si="15"/>
        <v>24.3</v>
      </c>
      <c r="S43" s="61">
        <v>6</v>
      </c>
      <c r="T43" s="57">
        <v>7</v>
      </c>
      <c r="U43" s="57">
        <v>8</v>
      </c>
      <c r="V43" s="57">
        <v>6</v>
      </c>
      <c r="W43" s="57">
        <v>8</v>
      </c>
      <c r="X43" s="57">
        <v>6</v>
      </c>
      <c r="Y43" s="57">
        <v>7</v>
      </c>
      <c r="Z43" s="57">
        <v>6</v>
      </c>
      <c r="AA43" s="57">
        <v>5</v>
      </c>
      <c r="AB43" s="57">
        <v>10</v>
      </c>
      <c r="AC43" s="38">
        <f t="shared" si="16"/>
        <v>69</v>
      </c>
      <c r="AD43" s="59">
        <f t="shared" si="17"/>
        <v>69</v>
      </c>
      <c r="AE43" s="60">
        <f t="shared" si="18"/>
        <v>34.5</v>
      </c>
      <c r="AF43" s="139">
        <v>27</v>
      </c>
      <c r="AG43" s="59">
        <f t="shared" si="19"/>
        <v>90</v>
      </c>
      <c r="AH43" s="60">
        <f t="shared" si="20"/>
        <v>18</v>
      </c>
      <c r="AI43" s="62">
        <f t="shared" si="21"/>
        <v>76.8</v>
      </c>
      <c r="AJ43" s="63">
        <f t="shared" si="22"/>
        <v>85</v>
      </c>
      <c r="AK43" s="2"/>
      <c r="AL43" s="4"/>
      <c r="AM43" s="2"/>
      <c r="AN43" s="3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12">
        <f t="shared" si="23"/>
        <v>86.666666666666671</v>
      </c>
    </row>
    <row r="44" spans="1:58" ht="18" customHeight="1" thickBot="1">
      <c r="A44" s="134">
        <v>12</v>
      </c>
      <c r="B44" s="250" t="s">
        <v>133</v>
      </c>
      <c r="C44" s="251"/>
      <c r="D44" s="64"/>
      <c r="E44" s="65"/>
      <c r="F44" s="56">
        <v>7</v>
      </c>
      <c r="G44" s="56">
        <v>7</v>
      </c>
      <c r="H44" s="57">
        <v>8</v>
      </c>
      <c r="I44" s="57">
        <v>6</v>
      </c>
      <c r="J44" s="57">
        <v>7</v>
      </c>
      <c r="K44" s="56">
        <v>6</v>
      </c>
      <c r="L44" s="56">
        <v>8</v>
      </c>
      <c r="M44" s="57">
        <v>9</v>
      </c>
      <c r="N44" s="57">
        <v>9</v>
      </c>
      <c r="O44" s="57">
        <v>9</v>
      </c>
      <c r="P44" s="58">
        <f t="shared" si="13"/>
        <v>76</v>
      </c>
      <c r="Q44" s="59">
        <f t="shared" si="14"/>
        <v>76</v>
      </c>
      <c r="R44" s="60">
        <f t="shared" si="15"/>
        <v>22.8</v>
      </c>
      <c r="S44" s="61">
        <v>9</v>
      </c>
      <c r="T44" s="57">
        <v>7</v>
      </c>
      <c r="U44" s="57">
        <v>6</v>
      </c>
      <c r="V44" s="57">
        <v>7</v>
      </c>
      <c r="W44" s="57">
        <v>8</v>
      </c>
      <c r="X44" s="57">
        <v>6</v>
      </c>
      <c r="Y44" s="57">
        <v>6</v>
      </c>
      <c r="Z44" s="57">
        <v>6</v>
      </c>
      <c r="AA44" s="57">
        <v>6</v>
      </c>
      <c r="AB44" s="57">
        <v>10</v>
      </c>
      <c r="AC44" s="38">
        <f t="shared" si="16"/>
        <v>71</v>
      </c>
      <c r="AD44" s="59">
        <f t="shared" si="17"/>
        <v>71</v>
      </c>
      <c r="AE44" s="60">
        <f t="shared" si="18"/>
        <v>35.5</v>
      </c>
      <c r="AF44" s="139">
        <v>23</v>
      </c>
      <c r="AG44" s="59">
        <f t="shared" si="19"/>
        <v>76.67</v>
      </c>
      <c r="AH44" s="60">
        <f t="shared" si="20"/>
        <v>15.33</v>
      </c>
      <c r="AI44" s="62">
        <f t="shared" si="21"/>
        <v>73.63</v>
      </c>
      <c r="AJ44" s="63">
        <f t="shared" si="22"/>
        <v>83</v>
      </c>
      <c r="AK44" s="2"/>
      <c r="AL44" s="4"/>
      <c r="AM44" s="2"/>
      <c r="AN44" s="3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12">
        <f t="shared" si="23"/>
        <v>66.666666666666657</v>
      </c>
    </row>
    <row r="45" spans="1:58" ht="18" customHeight="1" thickBot="1">
      <c r="A45" s="134">
        <v>13</v>
      </c>
      <c r="B45" s="250" t="s">
        <v>134</v>
      </c>
      <c r="C45" s="251"/>
      <c r="D45" s="64"/>
      <c r="E45" s="65"/>
      <c r="F45" s="56">
        <v>9</v>
      </c>
      <c r="G45" s="56">
        <v>8</v>
      </c>
      <c r="H45" s="57">
        <v>6</v>
      </c>
      <c r="I45" s="57">
        <v>6</v>
      </c>
      <c r="J45" s="57">
        <v>6</v>
      </c>
      <c r="K45" s="56">
        <v>6</v>
      </c>
      <c r="L45" s="56">
        <v>5</v>
      </c>
      <c r="M45" s="57">
        <v>5</v>
      </c>
      <c r="N45" s="57">
        <v>10</v>
      </c>
      <c r="O45" s="57">
        <v>10</v>
      </c>
      <c r="P45" s="58">
        <f t="shared" si="13"/>
        <v>71</v>
      </c>
      <c r="Q45" s="59">
        <f t="shared" si="14"/>
        <v>71</v>
      </c>
      <c r="R45" s="60">
        <f t="shared" si="15"/>
        <v>21.3</v>
      </c>
      <c r="S45" s="61">
        <v>6</v>
      </c>
      <c r="T45" s="57">
        <v>7</v>
      </c>
      <c r="U45" s="57">
        <v>8</v>
      </c>
      <c r="V45" s="57">
        <v>6</v>
      </c>
      <c r="W45" s="57">
        <v>7</v>
      </c>
      <c r="X45" s="57">
        <v>8</v>
      </c>
      <c r="Y45" s="57">
        <v>6</v>
      </c>
      <c r="Z45" s="57">
        <v>7</v>
      </c>
      <c r="AA45" s="57">
        <v>10</v>
      </c>
      <c r="AB45" s="57">
        <v>10</v>
      </c>
      <c r="AC45" s="38">
        <f t="shared" si="16"/>
        <v>75</v>
      </c>
      <c r="AD45" s="59">
        <f t="shared" si="17"/>
        <v>75</v>
      </c>
      <c r="AE45" s="60">
        <f t="shared" si="18"/>
        <v>37.5</v>
      </c>
      <c r="AF45" s="139">
        <v>24</v>
      </c>
      <c r="AG45" s="59">
        <f t="shared" si="19"/>
        <v>80</v>
      </c>
      <c r="AH45" s="60">
        <f t="shared" si="20"/>
        <v>16</v>
      </c>
      <c r="AI45" s="62">
        <f t="shared" si="21"/>
        <v>74.8</v>
      </c>
      <c r="AJ45" s="63">
        <f t="shared" si="22"/>
        <v>84</v>
      </c>
      <c r="AK45" s="2"/>
      <c r="AL45" s="4"/>
      <c r="AM45" s="2"/>
      <c r="AN45" s="3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12">
        <f t="shared" si="23"/>
        <v>83.333333333333343</v>
      </c>
    </row>
    <row r="46" spans="1:58" ht="18" customHeight="1" thickBot="1">
      <c r="A46" s="134">
        <v>14</v>
      </c>
      <c r="B46" s="250" t="s">
        <v>135</v>
      </c>
      <c r="C46" s="251"/>
      <c r="D46" s="64"/>
      <c r="E46" s="65"/>
      <c r="F46" s="56">
        <v>9</v>
      </c>
      <c r="G46" s="56">
        <v>9</v>
      </c>
      <c r="H46" s="57">
        <v>8</v>
      </c>
      <c r="I46" s="57">
        <v>8</v>
      </c>
      <c r="J46" s="57">
        <v>6</v>
      </c>
      <c r="K46" s="56">
        <v>6</v>
      </c>
      <c r="L46" s="56">
        <v>6</v>
      </c>
      <c r="M46" s="57">
        <v>8</v>
      </c>
      <c r="N46" s="57">
        <v>10</v>
      </c>
      <c r="O46" s="57">
        <v>10</v>
      </c>
      <c r="P46" s="58">
        <f t="shared" si="13"/>
        <v>80</v>
      </c>
      <c r="Q46" s="59">
        <f t="shared" si="14"/>
        <v>80</v>
      </c>
      <c r="R46" s="60">
        <f t="shared" si="15"/>
        <v>24</v>
      </c>
      <c r="S46" s="61">
        <v>8</v>
      </c>
      <c r="T46" s="57">
        <v>9</v>
      </c>
      <c r="U46" s="57">
        <v>6</v>
      </c>
      <c r="V46" s="57">
        <v>9</v>
      </c>
      <c r="W46" s="57">
        <v>7</v>
      </c>
      <c r="X46" s="57">
        <v>9</v>
      </c>
      <c r="Y46" s="57">
        <v>10</v>
      </c>
      <c r="Z46" s="57">
        <v>9</v>
      </c>
      <c r="AA46" s="57">
        <v>6</v>
      </c>
      <c r="AB46" s="57">
        <v>10</v>
      </c>
      <c r="AC46" s="38">
        <f t="shared" si="16"/>
        <v>83</v>
      </c>
      <c r="AD46" s="59">
        <f t="shared" si="17"/>
        <v>83</v>
      </c>
      <c r="AE46" s="60">
        <f t="shared" si="18"/>
        <v>41.5</v>
      </c>
      <c r="AF46" s="139">
        <v>23</v>
      </c>
      <c r="AG46" s="59">
        <f t="shared" si="19"/>
        <v>76.67</v>
      </c>
      <c r="AH46" s="60">
        <f t="shared" si="20"/>
        <v>15.33</v>
      </c>
      <c r="AI46" s="62">
        <f t="shared" si="21"/>
        <v>80.83</v>
      </c>
      <c r="AJ46" s="63">
        <f t="shared" si="22"/>
        <v>88</v>
      </c>
      <c r="AK46" s="2"/>
      <c r="AL46" s="4"/>
      <c r="AM46" s="2"/>
      <c r="AN46" s="3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12">
        <f t="shared" si="23"/>
        <v>60</v>
      </c>
    </row>
    <row r="47" spans="1:58" ht="18" customHeight="1" thickBot="1">
      <c r="A47" s="134">
        <v>15</v>
      </c>
      <c r="B47" s="250" t="s">
        <v>136</v>
      </c>
      <c r="C47" s="251"/>
      <c r="D47" s="64"/>
      <c r="E47" s="65"/>
      <c r="F47" s="56">
        <v>10</v>
      </c>
      <c r="G47" s="56">
        <v>10</v>
      </c>
      <c r="H47" s="57">
        <v>6</v>
      </c>
      <c r="I47" s="57">
        <v>6</v>
      </c>
      <c r="J47" s="57">
        <v>9</v>
      </c>
      <c r="K47" s="56">
        <v>7</v>
      </c>
      <c r="L47" s="56">
        <v>9</v>
      </c>
      <c r="M47" s="57">
        <v>9</v>
      </c>
      <c r="N47" s="57">
        <v>9</v>
      </c>
      <c r="O47" s="57">
        <v>7</v>
      </c>
      <c r="P47" s="58">
        <f t="shared" si="13"/>
        <v>82</v>
      </c>
      <c r="Q47" s="59">
        <f t="shared" si="14"/>
        <v>82</v>
      </c>
      <c r="R47" s="60">
        <f t="shared" si="15"/>
        <v>24.6</v>
      </c>
      <c r="S47" s="61">
        <v>6</v>
      </c>
      <c r="T47" s="57">
        <v>6</v>
      </c>
      <c r="U47" s="57">
        <v>8</v>
      </c>
      <c r="V47" s="57">
        <v>5</v>
      </c>
      <c r="W47" s="57">
        <v>6</v>
      </c>
      <c r="X47" s="57">
        <v>10</v>
      </c>
      <c r="Y47" s="57">
        <v>7</v>
      </c>
      <c r="Z47" s="57">
        <v>10</v>
      </c>
      <c r="AA47" s="57">
        <v>10</v>
      </c>
      <c r="AB47" s="57">
        <v>10</v>
      </c>
      <c r="AC47" s="38">
        <f t="shared" si="16"/>
        <v>78</v>
      </c>
      <c r="AD47" s="59">
        <f t="shared" si="17"/>
        <v>78</v>
      </c>
      <c r="AE47" s="60">
        <f t="shared" si="18"/>
        <v>39</v>
      </c>
      <c r="AF47" s="139">
        <v>20</v>
      </c>
      <c r="AG47" s="59">
        <f t="shared" si="19"/>
        <v>66.67</v>
      </c>
      <c r="AH47" s="60">
        <f t="shared" si="20"/>
        <v>13.33</v>
      </c>
      <c r="AI47" s="62">
        <f t="shared" si="21"/>
        <v>76.930000000000007</v>
      </c>
      <c r="AJ47" s="63">
        <f t="shared" si="22"/>
        <v>85</v>
      </c>
      <c r="AK47" s="2"/>
      <c r="AL47" s="4"/>
      <c r="AM47" s="2"/>
      <c r="AN47" s="3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12">
        <f t="shared" si="23"/>
        <v>86.666666666666671</v>
      </c>
    </row>
    <row r="48" spans="1:58" ht="18" customHeight="1" thickBot="1">
      <c r="A48" s="134">
        <v>16</v>
      </c>
      <c r="B48" s="250" t="s">
        <v>137</v>
      </c>
      <c r="C48" s="251"/>
      <c r="D48" s="64"/>
      <c r="E48" s="65"/>
      <c r="F48" s="56">
        <v>10</v>
      </c>
      <c r="G48" s="56">
        <v>9</v>
      </c>
      <c r="H48" s="57">
        <v>8</v>
      </c>
      <c r="I48" s="57">
        <v>6</v>
      </c>
      <c r="J48" s="57">
        <v>6</v>
      </c>
      <c r="K48" s="56">
        <v>6</v>
      </c>
      <c r="L48" s="56">
        <v>10</v>
      </c>
      <c r="M48" s="57">
        <v>9</v>
      </c>
      <c r="N48" s="57">
        <v>9</v>
      </c>
      <c r="O48" s="57">
        <v>9</v>
      </c>
      <c r="P48" s="58">
        <f t="shared" si="13"/>
        <v>82</v>
      </c>
      <c r="Q48" s="59">
        <f t="shared" si="14"/>
        <v>82</v>
      </c>
      <c r="R48" s="60">
        <f t="shared" si="15"/>
        <v>24.6</v>
      </c>
      <c r="S48" s="61">
        <v>9</v>
      </c>
      <c r="T48" s="57">
        <v>8</v>
      </c>
      <c r="U48" s="57">
        <v>7</v>
      </c>
      <c r="V48" s="57">
        <v>6</v>
      </c>
      <c r="W48" s="57">
        <v>6</v>
      </c>
      <c r="X48" s="57">
        <v>6</v>
      </c>
      <c r="Y48" s="57">
        <v>8</v>
      </c>
      <c r="Z48" s="57">
        <v>7</v>
      </c>
      <c r="AA48" s="57">
        <v>6</v>
      </c>
      <c r="AB48" s="57">
        <v>6</v>
      </c>
      <c r="AC48" s="38">
        <f t="shared" si="16"/>
        <v>69</v>
      </c>
      <c r="AD48" s="59">
        <f t="shared" si="17"/>
        <v>69</v>
      </c>
      <c r="AE48" s="60">
        <f t="shared" si="18"/>
        <v>34.5</v>
      </c>
      <c r="AF48" s="139">
        <v>26</v>
      </c>
      <c r="AG48" s="59">
        <f t="shared" si="19"/>
        <v>86.67</v>
      </c>
      <c r="AH48" s="60">
        <f t="shared" si="20"/>
        <v>17.329999999999998</v>
      </c>
      <c r="AI48" s="62">
        <f t="shared" si="21"/>
        <v>76.430000000000007</v>
      </c>
      <c r="AJ48" s="63">
        <f t="shared" si="22"/>
        <v>85</v>
      </c>
      <c r="AK48" s="2"/>
      <c r="AL48" s="4"/>
      <c r="AM48" s="2"/>
      <c r="AN48" s="3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12">
        <f t="shared" si="23"/>
        <v>86.666666666666671</v>
      </c>
    </row>
    <row r="49" spans="1:58" ht="18" customHeight="1" thickBot="1">
      <c r="A49" s="134">
        <v>17</v>
      </c>
      <c r="B49" s="250" t="s">
        <v>138</v>
      </c>
      <c r="C49" s="251"/>
      <c r="D49" s="64"/>
      <c r="E49" s="65"/>
      <c r="F49" s="56">
        <v>6</v>
      </c>
      <c r="G49" s="56">
        <v>6</v>
      </c>
      <c r="H49" s="57">
        <v>8</v>
      </c>
      <c r="I49" s="57">
        <v>6</v>
      </c>
      <c r="J49" s="57">
        <v>6</v>
      </c>
      <c r="K49" s="56">
        <v>8</v>
      </c>
      <c r="L49" s="56">
        <v>9</v>
      </c>
      <c r="M49" s="57">
        <v>9</v>
      </c>
      <c r="N49" s="57">
        <v>7</v>
      </c>
      <c r="O49" s="57">
        <v>7</v>
      </c>
      <c r="P49" s="58">
        <f t="shared" si="13"/>
        <v>72</v>
      </c>
      <c r="Q49" s="59">
        <f t="shared" si="14"/>
        <v>72</v>
      </c>
      <c r="R49" s="60">
        <f t="shared" si="15"/>
        <v>21.6</v>
      </c>
      <c r="S49" s="61">
        <v>6</v>
      </c>
      <c r="T49" s="57">
        <v>7</v>
      </c>
      <c r="U49" s="57">
        <v>6</v>
      </c>
      <c r="V49" s="57">
        <v>7</v>
      </c>
      <c r="W49" s="57">
        <v>6</v>
      </c>
      <c r="X49" s="57">
        <v>8</v>
      </c>
      <c r="Y49" s="57">
        <v>8</v>
      </c>
      <c r="Z49" s="57">
        <v>10</v>
      </c>
      <c r="AA49" s="57">
        <v>6</v>
      </c>
      <c r="AB49" s="57">
        <v>7</v>
      </c>
      <c r="AC49" s="38">
        <f t="shared" si="16"/>
        <v>71</v>
      </c>
      <c r="AD49" s="59">
        <f t="shared" si="17"/>
        <v>71</v>
      </c>
      <c r="AE49" s="60">
        <f t="shared" si="18"/>
        <v>35.5</v>
      </c>
      <c r="AF49" s="139">
        <v>26</v>
      </c>
      <c r="AG49" s="59">
        <f t="shared" si="19"/>
        <v>86.67</v>
      </c>
      <c r="AH49" s="60">
        <f t="shared" si="20"/>
        <v>17.329999999999998</v>
      </c>
      <c r="AI49" s="62">
        <f t="shared" si="21"/>
        <v>74.430000000000007</v>
      </c>
      <c r="AJ49" s="63">
        <f t="shared" si="22"/>
        <v>84</v>
      </c>
      <c r="AK49" s="2"/>
      <c r="AL49" s="4"/>
      <c r="AM49" s="2"/>
      <c r="AN49" s="3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12">
        <f t="shared" si="23"/>
        <v>90</v>
      </c>
    </row>
    <row r="50" spans="1:58" ht="18" customHeight="1" thickBot="1">
      <c r="A50" s="134">
        <v>18</v>
      </c>
      <c r="B50" s="250" t="s">
        <v>139</v>
      </c>
      <c r="C50" s="251"/>
      <c r="D50" s="64"/>
      <c r="E50" s="65"/>
      <c r="F50" s="56">
        <v>10</v>
      </c>
      <c r="G50" s="56">
        <v>10</v>
      </c>
      <c r="H50" s="57">
        <v>10</v>
      </c>
      <c r="I50" s="57">
        <v>10</v>
      </c>
      <c r="J50" s="57">
        <v>9</v>
      </c>
      <c r="K50" s="56">
        <v>8</v>
      </c>
      <c r="L50" s="56">
        <v>7</v>
      </c>
      <c r="M50" s="57">
        <v>9</v>
      </c>
      <c r="N50" s="57">
        <v>7</v>
      </c>
      <c r="O50" s="57">
        <v>8</v>
      </c>
      <c r="P50" s="58">
        <f t="shared" si="13"/>
        <v>88</v>
      </c>
      <c r="Q50" s="59">
        <f t="shared" si="14"/>
        <v>88</v>
      </c>
      <c r="R50" s="60">
        <f t="shared" si="15"/>
        <v>26.4</v>
      </c>
      <c r="S50" s="61">
        <v>8</v>
      </c>
      <c r="T50" s="57">
        <v>7</v>
      </c>
      <c r="U50" s="57">
        <v>6</v>
      </c>
      <c r="V50" s="57">
        <v>7</v>
      </c>
      <c r="W50" s="57">
        <v>8</v>
      </c>
      <c r="X50" s="57">
        <v>6</v>
      </c>
      <c r="Y50" s="57">
        <v>10</v>
      </c>
      <c r="Z50" s="57">
        <v>10</v>
      </c>
      <c r="AA50" s="57">
        <v>6</v>
      </c>
      <c r="AB50" s="57">
        <v>6</v>
      </c>
      <c r="AC50" s="38">
        <f t="shared" si="16"/>
        <v>74</v>
      </c>
      <c r="AD50" s="59">
        <f t="shared" si="17"/>
        <v>74</v>
      </c>
      <c r="AE50" s="60">
        <f t="shared" si="18"/>
        <v>37</v>
      </c>
      <c r="AF50" s="139">
        <v>23</v>
      </c>
      <c r="AG50" s="59">
        <f t="shared" si="19"/>
        <v>76.67</v>
      </c>
      <c r="AH50" s="60">
        <f t="shared" si="20"/>
        <v>15.33</v>
      </c>
      <c r="AI50" s="62">
        <f t="shared" si="21"/>
        <v>78.73</v>
      </c>
      <c r="AJ50" s="63">
        <f t="shared" si="22"/>
        <v>86</v>
      </c>
      <c r="AK50" s="2"/>
      <c r="AL50" s="4"/>
      <c r="AM50" s="2"/>
      <c r="AN50" s="3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12">
        <f t="shared" si="23"/>
        <v>76.666666666666671</v>
      </c>
    </row>
    <row r="51" spans="1:58" ht="18" customHeight="1" thickBot="1">
      <c r="A51" s="135">
        <v>19</v>
      </c>
      <c r="B51" s="250" t="s">
        <v>140</v>
      </c>
      <c r="C51" s="251"/>
      <c r="D51" s="126"/>
      <c r="E51" s="127"/>
      <c r="F51" s="56">
        <v>9</v>
      </c>
      <c r="G51" s="56">
        <v>8</v>
      </c>
      <c r="H51" s="57">
        <v>7</v>
      </c>
      <c r="I51" s="57">
        <v>7</v>
      </c>
      <c r="J51" s="57">
        <v>7</v>
      </c>
      <c r="K51" s="56">
        <v>8</v>
      </c>
      <c r="L51" s="56">
        <v>8</v>
      </c>
      <c r="M51" s="57">
        <v>9</v>
      </c>
      <c r="N51" s="57">
        <v>7</v>
      </c>
      <c r="O51" s="57">
        <v>8</v>
      </c>
      <c r="P51" s="128">
        <f t="shared" si="13"/>
        <v>78</v>
      </c>
      <c r="Q51" s="129">
        <f t="shared" si="14"/>
        <v>78</v>
      </c>
      <c r="R51" s="130">
        <f t="shared" si="15"/>
        <v>23.4</v>
      </c>
      <c r="S51" s="61">
        <v>9</v>
      </c>
      <c r="T51" s="57">
        <v>8</v>
      </c>
      <c r="U51" s="57">
        <v>10</v>
      </c>
      <c r="V51" s="57">
        <v>10</v>
      </c>
      <c r="W51" s="57">
        <v>8</v>
      </c>
      <c r="X51" s="57">
        <v>8</v>
      </c>
      <c r="Y51" s="57">
        <v>6</v>
      </c>
      <c r="Z51" s="57">
        <v>6</v>
      </c>
      <c r="AA51" s="57">
        <v>6</v>
      </c>
      <c r="AB51" s="57">
        <v>6</v>
      </c>
      <c r="AC51" s="140">
        <f t="shared" si="16"/>
        <v>77</v>
      </c>
      <c r="AD51" s="129">
        <f t="shared" si="17"/>
        <v>77</v>
      </c>
      <c r="AE51" s="130">
        <f t="shared" si="18"/>
        <v>38.5</v>
      </c>
      <c r="AF51" s="143">
        <v>22</v>
      </c>
      <c r="AG51" s="129">
        <f t="shared" si="19"/>
        <v>73.33</v>
      </c>
      <c r="AH51" s="130">
        <f t="shared" si="20"/>
        <v>14.67</v>
      </c>
      <c r="AI51" s="131">
        <f t="shared" si="21"/>
        <v>76.569999999999993</v>
      </c>
      <c r="AJ51" s="132">
        <f t="shared" si="22"/>
        <v>85</v>
      </c>
      <c r="AK51" s="2"/>
      <c r="AL51" s="4"/>
      <c r="AM51" s="2"/>
      <c r="AN51" s="3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12">
        <f t="shared" si="23"/>
        <v>80</v>
      </c>
    </row>
    <row r="52" spans="1:58" ht="18" customHeight="1" thickBot="1">
      <c r="A52" s="144">
        <v>20</v>
      </c>
      <c r="B52" s="252" t="s">
        <v>141</v>
      </c>
      <c r="C52" s="253"/>
      <c r="D52" s="145"/>
      <c r="E52" s="146"/>
      <c r="F52" s="56">
        <v>9</v>
      </c>
      <c r="G52" s="56">
        <v>9</v>
      </c>
      <c r="H52" s="57">
        <v>10</v>
      </c>
      <c r="I52" s="57">
        <v>9</v>
      </c>
      <c r="J52" s="57">
        <v>9</v>
      </c>
      <c r="K52" s="56">
        <v>9</v>
      </c>
      <c r="L52" s="56">
        <v>9</v>
      </c>
      <c r="M52" s="57">
        <v>9</v>
      </c>
      <c r="N52" s="57">
        <v>8</v>
      </c>
      <c r="O52" s="57">
        <v>8</v>
      </c>
      <c r="P52" s="149">
        <f t="shared" si="13"/>
        <v>89</v>
      </c>
      <c r="Q52" s="150">
        <f t="shared" si="14"/>
        <v>89</v>
      </c>
      <c r="R52" s="151">
        <f t="shared" si="15"/>
        <v>26.7</v>
      </c>
      <c r="S52" s="61">
        <v>7</v>
      </c>
      <c r="T52" s="57">
        <v>7</v>
      </c>
      <c r="U52" s="57">
        <v>8</v>
      </c>
      <c r="V52" s="57">
        <v>6</v>
      </c>
      <c r="W52" s="57">
        <v>6</v>
      </c>
      <c r="X52" s="57">
        <v>6</v>
      </c>
      <c r="Y52" s="57">
        <v>6</v>
      </c>
      <c r="Z52" s="57">
        <v>6</v>
      </c>
      <c r="AA52" s="57">
        <v>6</v>
      </c>
      <c r="AB52" s="57">
        <v>10</v>
      </c>
      <c r="AC52" s="153">
        <f t="shared" si="16"/>
        <v>68</v>
      </c>
      <c r="AD52" s="150">
        <f t="shared" si="17"/>
        <v>68</v>
      </c>
      <c r="AE52" s="151">
        <f t="shared" si="18"/>
        <v>34</v>
      </c>
      <c r="AF52" s="154">
        <v>24</v>
      </c>
      <c r="AG52" s="150">
        <f t="shared" si="19"/>
        <v>80</v>
      </c>
      <c r="AH52" s="151">
        <f t="shared" si="20"/>
        <v>16</v>
      </c>
      <c r="AI52" s="155">
        <f t="shared" si="21"/>
        <v>76.7</v>
      </c>
      <c r="AJ52" s="156">
        <f t="shared" si="22"/>
        <v>85</v>
      </c>
      <c r="AK52" s="2"/>
      <c r="AL52" s="4"/>
      <c r="AM52" s="2"/>
      <c r="AN52" s="3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12">
        <f t="shared" si="23"/>
        <v>76.666666666666671</v>
      </c>
    </row>
    <row r="53" spans="1:58" ht="18" customHeight="1">
      <c r="AK53" s="2"/>
      <c r="AL53" s="4"/>
      <c r="AM53" s="2"/>
      <c r="AN53" s="3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12">
        <f t="shared" si="23"/>
        <v>66.666666666666657</v>
      </c>
    </row>
    <row r="54" spans="1:58" ht="18" customHeight="1">
      <c r="AK54" s="2"/>
      <c r="AL54" s="4"/>
      <c r="AM54" s="2"/>
      <c r="AN54" s="3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12">
        <f t="shared" si="23"/>
        <v>86.666666666666671</v>
      </c>
    </row>
    <row r="55" spans="1:58" ht="18" customHeight="1">
      <c r="A55" s="2"/>
      <c r="B55" s="4"/>
      <c r="C55" s="2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12"/>
    </row>
    <row r="56" spans="1:58" ht="18" customHeight="1">
      <c r="A56" s="2"/>
      <c r="B56" s="4"/>
      <c r="C56" s="2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12"/>
    </row>
    <row r="57" spans="1:58" ht="18" customHeight="1">
      <c r="AK57" s="2"/>
      <c r="AL57" s="4"/>
      <c r="AM57" s="2"/>
      <c r="AN57" s="3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12">
        <f>(AF51/$AF$10)*100</f>
        <v>73.333333333333329</v>
      </c>
    </row>
    <row r="58" spans="1:58" ht="18" customHeight="1">
      <c r="AK58" s="2"/>
      <c r="AL58" s="4"/>
      <c r="AM58" s="2"/>
      <c r="AN58" s="3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12">
        <f>(AF52/$AF$10)*100</f>
        <v>80</v>
      </c>
    </row>
    <row r="59" spans="1:58" ht="17.45" customHeight="1">
      <c r="AK59" s="2"/>
      <c r="AL59" s="2"/>
      <c r="AM59" s="2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2"/>
      <c r="BF59" s="2"/>
    </row>
  </sheetData>
  <mergeCells count="70">
    <mergeCell ref="B28:C28"/>
    <mergeCell ref="B29:C29"/>
    <mergeCell ref="B30:C30"/>
    <mergeCell ref="B31:C31"/>
    <mergeCell ref="B23:C23"/>
    <mergeCell ref="B24:C24"/>
    <mergeCell ref="B25:C25"/>
    <mergeCell ref="B26:C26"/>
    <mergeCell ref="B27:C27"/>
    <mergeCell ref="B17:C17"/>
    <mergeCell ref="B18:C18"/>
    <mergeCell ref="B20:C20"/>
    <mergeCell ref="B21:C21"/>
    <mergeCell ref="B22:C22"/>
    <mergeCell ref="B19:C19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AJ9:AJ10"/>
    <mergeCell ref="AL13:AM13"/>
    <mergeCell ref="B8:E8"/>
    <mergeCell ref="F8:R8"/>
    <mergeCell ref="S8:AE8"/>
    <mergeCell ref="AF8:AH8"/>
    <mergeCell ref="AI9:AI10"/>
    <mergeCell ref="B10:E10"/>
    <mergeCell ref="B11:E11"/>
    <mergeCell ref="B12:C12"/>
    <mergeCell ref="B13:C13"/>
    <mergeCell ref="B14:C14"/>
    <mergeCell ref="B15:C15"/>
    <mergeCell ref="B16:C16"/>
    <mergeCell ref="Q7:R7"/>
    <mergeCell ref="AC7:AF7"/>
    <mergeCell ref="A1:AJ2"/>
    <mergeCell ref="A3:AJ3"/>
    <mergeCell ref="G4:J4"/>
    <mergeCell ref="L4:N4"/>
    <mergeCell ref="O4:R4"/>
    <mergeCell ref="T4:W4"/>
    <mergeCell ref="X4:AC4"/>
    <mergeCell ref="C4:F4"/>
    <mergeCell ref="AG5:AI5"/>
    <mergeCell ref="A7:E7"/>
    <mergeCell ref="F7:J7"/>
    <mergeCell ref="K7:P7"/>
    <mergeCell ref="S7:AB7"/>
    <mergeCell ref="AG7:AJ7"/>
    <mergeCell ref="B5:F5"/>
    <mergeCell ref="G5:R5"/>
    <mergeCell ref="T5:W5"/>
    <mergeCell ref="X5:AC5"/>
    <mergeCell ref="AD5:AF5"/>
  </mergeCells>
  <dataValidations count="2">
    <dataValidation type="decimal" operator="lessThanOrEqual" allowBlank="1" showInputMessage="1" showErrorMessage="1" prompt="Encode learner's raw score" sqref="AF33:AF52 AF12:AF31" xr:uid="{00000000-0002-0000-0100-000000000000}">
      <formula1>$AF$10</formula1>
    </dataValidation>
    <dataValidation type="decimal" operator="lessThanOrEqual" allowBlank="1" showInputMessage="1" showErrorMessage="1" prompt="Encode learner's raw score." sqref="F12:P31 F33:O52 S12:AB31 S33:AB52" xr:uid="{00000000-0002-0000-0100-000001000000}">
      <formula1>F$10</formula1>
    </dataValidation>
  </dataValidations>
  <pageMargins left="0.70866141732283472" right="0.70866141732283472" top="0.74803149606299213" bottom="0.74803149606299213" header="0.31496062992125984" footer="0.31496062992125984"/>
  <pageSetup paperSize="14" scale="60" fitToHeight="0" orientation="landscape" r:id="rId1"/>
  <colBreaks count="1" manualBreakCount="1">
    <brk id="36" man="1"/>
  </col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33"/>
  </sheetPr>
  <dimension ref="A2:K111"/>
  <sheetViews>
    <sheetView showGridLines="0" tabSelected="1" topLeftCell="A25" zoomScale="87" zoomScaleNormal="87" workbookViewId="0">
      <selection activeCell="A50" sqref="A50:XFD50"/>
    </sheetView>
  </sheetViews>
  <sheetFormatPr defaultColWidth="14.42578125" defaultRowHeight="15" customHeight="1"/>
  <cols>
    <col min="1" max="1" width="3.7109375" customWidth="1"/>
    <col min="2" max="2" width="33.85546875" customWidth="1"/>
    <col min="3" max="4" width="3.28515625" hidden="1" customWidth="1"/>
    <col min="5" max="5" width="14.7109375" hidden="1" customWidth="1"/>
    <col min="6" max="10" width="14.7109375" customWidth="1"/>
    <col min="11" max="11" width="13.7109375" customWidth="1"/>
    <col min="12" max="26" width="9.140625" customWidth="1"/>
  </cols>
  <sheetData>
    <row r="2" spans="1:11" ht="43.5" customHeight="1">
      <c r="A2" s="241" t="s">
        <v>97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</row>
    <row r="3" spans="1:11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1" customHeight="1">
      <c r="A4" s="86"/>
      <c r="B4" s="255" t="s">
        <v>0</v>
      </c>
      <c r="C4" s="233"/>
      <c r="D4" s="233"/>
      <c r="E4" s="233"/>
      <c r="F4" s="256" t="s">
        <v>100</v>
      </c>
      <c r="G4" s="235"/>
      <c r="H4" s="236"/>
      <c r="I4" s="88"/>
      <c r="J4" s="88"/>
      <c r="K4" s="86"/>
    </row>
    <row r="5" spans="1:11" ht="21" customHeight="1">
      <c r="A5" s="86"/>
      <c r="B5" s="255" t="s">
        <v>3</v>
      </c>
      <c r="C5" s="233"/>
      <c r="D5" s="233"/>
      <c r="E5" s="233"/>
      <c r="F5" s="257" t="s">
        <v>70</v>
      </c>
      <c r="G5" s="235"/>
      <c r="H5" s="236"/>
      <c r="I5" s="89" t="s">
        <v>1</v>
      </c>
      <c r="J5" s="258" t="s">
        <v>95</v>
      </c>
      <c r="K5" s="236"/>
    </row>
    <row r="6" spans="1:11" ht="21" customHeight="1">
      <c r="A6" s="86"/>
      <c r="B6" s="267" t="s">
        <v>4</v>
      </c>
      <c r="C6" s="233"/>
      <c r="D6" s="233"/>
      <c r="E6" s="233"/>
      <c r="F6" s="268">
        <v>136632</v>
      </c>
      <c r="G6" s="235"/>
      <c r="H6" s="236"/>
      <c r="I6" s="89" t="s">
        <v>2</v>
      </c>
      <c r="J6" s="258" t="s">
        <v>96</v>
      </c>
      <c r="K6" s="236"/>
    </row>
    <row r="7" spans="1:11" ht="18" customHeight="1">
      <c r="A7" s="90"/>
      <c r="B7" s="90"/>
      <c r="C7" s="87"/>
      <c r="D7" s="87"/>
      <c r="E7" s="91"/>
      <c r="F7" s="90"/>
      <c r="G7" s="90"/>
      <c r="H7" s="90"/>
      <c r="I7" s="90"/>
      <c r="J7" s="90"/>
      <c r="K7" s="91"/>
    </row>
    <row r="8" spans="1:11" ht="31.5" customHeight="1">
      <c r="A8" s="92"/>
      <c r="B8" s="261" t="s">
        <v>9</v>
      </c>
      <c r="C8" s="217"/>
      <c r="D8" s="217"/>
      <c r="E8" s="217"/>
      <c r="F8" s="93" t="s">
        <v>15</v>
      </c>
      <c r="G8" s="94" t="s">
        <v>42</v>
      </c>
      <c r="H8" s="94" t="s">
        <v>46</v>
      </c>
      <c r="I8" s="157" t="s">
        <v>45</v>
      </c>
      <c r="J8" s="157" t="s">
        <v>44</v>
      </c>
      <c r="K8" s="262" t="s">
        <v>47</v>
      </c>
    </row>
    <row r="9" spans="1:11" ht="18" customHeight="1" thickBot="1">
      <c r="A9" s="95"/>
      <c r="B9" s="233"/>
      <c r="C9" s="233"/>
      <c r="D9" s="233"/>
      <c r="E9" s="233"/>
      <c r="F9" s="96">
        <v>1</v>
      </c>
      <c r="G9" s="97">
        <v>2</v>
      </c>
      <c r="H9" s="97">
        <v>3</v>
      </c>
      <c r="I9" s="98">
        <v>4</v>
      </c>
      <c r="J9" s="98">
        <v>5</v>
      </c>
      <c r="K9" s="263"/>
    </row>
    <row r="10" spans="1:11" ht="13.5" customHeight="1" thickBot="1">
      <c r="A10" s="99"/>
      <c r="B10" s="264" t="s">
        <v>48</v>
      </c>
      <c r="C10" s="265"/>
      <c r="D10" s="265"/>
      <c r="E10" s="266"/>
      <c r="F10" s="100"/>
      <c r="G10" s="101"/>
      <c r="H10" s="101"/>
      <c r="I10" s="102"/>
      <c r="J10" s="102"/>
      <c r="K10" s="103"/>
    </row>
    <row r="11" spans="1:11" ht="18" customHeight="1" thickBot="1">
      <c r="A11" s="104">
        <v>1</v>
      </c>
      <c r="B11" s="205" t="s">
        <v>102</v>
      </c>
      <c r="C11" s="201" t="s">
        <v>71</v>
      </c>
      <c r="D11" s="105"/>
      <c r="E11" s="105"/>
      <c r="F11" s="106">
        <v>83</v>
      </c>
      <c r="G11" s="106">
        <v>81</v>
      </c>
      <c r="H11" s="106">
        <v>86</v>
      </c>
      <c r="I11" s="106">
        <v>85</v>
      </c>
      <c r="J11" s="106">
        <v>85</v>
      </c>
      <c r="K11" s="138">
        <f t="shared" ref="K11:K32" si="0">IF(ISERROR(AVERAGE(F11:J11)),"",AVERAGE(F11:J11))</f>
        <v>84</v>
      </c>
    </row>
    <row r="12" spans="1:11" ht="18" customHeight="1" thickBot="1">
      <c r="A12" s="107">
        <v>2</v>
      </c>
      <c r="B12" s="205" t="s">
        <v>103</v>
      </c>
      <c r="C12" s="202" t="s">
        <v>72</v>
      </c>
      <c r="D12" s="108"/>
      <c r="E12" s="108"/>
      <c r="F12" s="106">
        <v>84</v>
      </c>
      <c r="G12" s="106">
        <v>82</v>
      </c>
      <c r="H12" s="106">
        <v>85</v>
      </c>
      <c r="I12" s="106">
        <v>86</v>
      </c>
      <c r="J12" s="106">
        <v>86</v>
      </c>
      <c r="K12" s="138">
        <f t="shared" si="0"/>
        <v>84.6</v>
      </c>
    </row>
    <row r="13" spans="1:11" ht="18" customHeight="1" thickBot="1">
      <c r="A13" s="107">
        <v>3</v>
      </c>
      <c r="B13" s="205" t="s">
        <v>104</v>
      </c>
      <c r="C13" s="202" t="s">
        <v>73</v>
      </c>
      <c r="D13" s="108"/>
      <c r="E13" s="108"/>
      <c r="F13" s="106">
        <v>83</v>
      </c>
      <c r="G13" s="106">
        <v>85</v>
      </c>
      <c r="H13" s="106">
        <v>83</v>
      </c>
      <c r="I13" s="106">
        <v>84</v>
      </c>
      <c r="J13" s="106">
        <v>85</v>
      </c>
      <c r="K13" s="138">
        <f t="shared" si="0"/>
        <v>84</v>
      </c>
    </row>
    <row r="14" spans="1:11" ht="18" customHeight="1" thickBot="1">
      <c r="A14" s="107">
        <v>4</v>
      </c>
      <c r="B14" s="205" t="s">
        <v>105</v>
      </c>
      <c r="C14" s="202" t="s">
        <v>74</v>
      </c>
      <c r="D14" s="108"/>
      <c r="E14" s="108"/>
      <c r="F14" s="106">
        <v>77</v>
      </c>
      <c r="G14" s="106">
        <v>76</v>
      </c>
      <c r="H14" s="106">
        <v>77</v>
      </c>
      <c r="I14" s="106">
        <v>80</v>
      </c>
      <c r="J14" s="106">
        <v>79</v>
      </c>
      <c r="K14" s="138">
        <f t="shared" si="0"/>
        <v>77.8</v>
      </c>
    </row>
    <row r="15" spans="1:11" ht="18" customHeight="1" thickBot="1">
      <c r="A15" s="107">
        <v>5</v>
      </c>
      <c r="B15" s="205" t="s">
        <v>106</v>
      </c>
      <c r="C15" s="202" t="s">
        <v>75</v>
      </c>
      <c r="D15" s="108"/>
      <c r="E15" s="108"/>
      <c r="F15" s="106">
        <v>78</v>
      </c>
      <c r="G15" s="106">
        <v>77</v>
      </c>
      <c r="H15" s="106">
        <v>78</v>
      </c>
      <c r="I15" s="106">
        <v>80</v>
      </c>
      <c r="J15" s="106">
        <v>80</v>
      </c>
      <c r="K15" s="138">
        <f t="shared" si="0"/>
        <v>78.599999999999994</v>
      </c>
    </row>
    <row r="16" spans="1:11" ht="18" customHeight="1" thickBot="1">
      <c r="A16" s="107">
        <v>6</v>
      </c>
      <c r="B16" s="205" t="s">
        <v>107</v>
      </c>
      <c r="C16" s="202" t="s">
        <v>76</v>
      </c>
      <c r="D16" s="108"/>
      <c r="E16" s="108"/>
      <c r="F16" s="106">
        <v>88</v>
      </c>
      <c r="G16" s="106">
        <v>90</v>
      </c>
      <c r="H16" s="106">
        <v>88</v>
      </c>
      <c r="I16" s="106">
        <v>90</v>
      </c>
      <c r="J16" s="106">
        <v>89</v>
      </c>
      <c r="K16" s="138">
        <f t="shared" si="0"/>
        <v>89</v>
      </c>
    </row>
    <row r="17" spans="1:11" ht="18" customHeight="1" thickBot="1">
      <c r="A17" s="104">
        <v>7</v>
      </c>
      <c r="B17" s="205" t="s">
        <v>108</v>
      </c>
      <c r="C17" s="202" t="s">
        <v>77</v>
      </c>
      <c r="D17" s="108"/>
      <c r="E17" s="108"/>
      <c r="F17" s="106">
        <v>77</v>
      </c>
      <c r="G17" s="106">
        <v>76</v>
      </c>
      <c r="H17" s="106">
        <v>77</v>
      </c>
      <c r="I17" s="106">
        <v>79</v>
      </c>
      <c r="J17" s="106">
        <v>79</v>
      </c>
      <c r="K17" s="138">
        <f t="shared" si="0"/>
        <v>77.599999999999994</v>
      </c>
    </row>
    <row r="18" spans="1:11" ht="18" customHeight="1" thickBot="1">
      <c r="A18" s="107">
        <v>8</v>
      </c>
      <c r="B18" s="205" t="s">
        <v>109</v>
      </c>
      <c r="C18" s="202" t="s">
        <v>78</v>
      </c>
      <c r="D18" s="108"/>
      <c r="E18" s="108"/>
      <c r="F18" s="106">
        <v>79</v>
      </c>
      <c r="G18" s="106">
        <v>77</v>
      </c>
      <c r="H18" s="106">
        <v>78</v>
      </c>
      <c r="I18" s="106">
        <v>80</v>
      </c>
      <c r="J18" s="106">
        <v>80</v>
      </c>
      <c r="K18" s="138">
        <f t="shared" si="0"/>
        <v>78.8</v>
      </c>
    </row>
    <row r="19" spans="1:11" ht="18" customHeight="1" thickBot="1">
      <c r="A19" s="107">
        <v>9</v>
      </c>
      <c r="B19" s="205" t="s">
        <v>110</v>
      </c>
      <c r="C19" s="202" t="s">
        <v>79</v>
      </c>
      <c r="D19" s="108"/>
      <c r="E19" s="108"/>
      <c r="F19" s="106">
        <v>84</v>
      </c>
      <c r="G19" s="106">
        <v>86</v>
      </c>
      <c r="H19" s="106">
        <v>84</v>
      </c>
      <c r="I19" s="106">
        <v>85</v>
      </c>
      <c r="J19" s="106">
        <v>84</v>
      </c>
      <c r="K19" s="138">
        <f t="shared" si="0"/>
        <v>84.6</v>
      </c>
    </row>
    <row r="20" spans="1:11" ht="18" customHeight="1" thickBot="1">
      <c r="A20" s="107">
        <v>10</v>
      </c>
      <c r="B20" s="205" t="s">
        <v>111</v>
      </c>
      <c r="C20" s="203" t="s">
        <v>80</v>
      </c>
      <c r="D20" s="108"/>
      <c r="E20" s="108"/>
      <c r="F20" s="106">
        <v>84</v>
      </c>
      <c r="G20" s="106">
        <v>84</v>
      </c>
      <c r="H20" s="106">
        <v>83</v>
      </c>
      <c r="I20" s="106">
        <v>85</v>
      </c>
      <c r="J20" s="106">
        <v>84</v>
      </c>
      <c r="K20" s="138">
        <f t="shared" si="0"/>
        <v>84</v>
      </c>
    </row>
    <row r="21" spans="1:11" ht="18" customHeight="1" thickBot="1">
      <c r="A21" s="107">
        <v>11</v>
      </c>
      <c r="B21" s="205" t="s">
        <v>112</v>
      </c>
      <c r="C21" s="202" t="s">
        <v>81</v>
      </c>
      <c r="D21" s="108"/>
      <c r="E21" s="108"/>
      <c r="F21" s="106">
        <v>86</v>
      </c>
      <c r="G21" s="106">
        <v>87</v>
      </c>
      <c r="H21" s="106">
        <v>85</v>
      </c>
      <c r="I21" s="106">
        <v>87</v>
      </c>
      <c r="J21" s="106">
        <v>85</v>
      </c>
      <c r="K21" s="138">
        <f t="shared" si="0"/>
        <v>86</v>
      </c>
    </row>
    <row r="22" spans="1:11" ht="18" customHeight="1" thickBot="1">
      <c r="A22" s="107">
        <v>12</v>
      </c>
      <c r="B22" s="205" t="s">
        <v>113</v>
      </c>
      <c r="C22" s="203" t="s">
        <v>82</v>
      </c>
      <c r="D22" s="108"/>
      <c r="E22" s="108"/>
      <c r="F22" s="106">
        <v>79</v>
      </c>
      <c r="G22" s="106">
        <v>78</v>
      </c>
      <c r="H22" s="106">
        <v>78</v>
      </c>
      <c r="I22" s="106">
        <v>83</v>
      </c>
      <c r="J22" s="106">
        <v>81</v>
      </c>
      <c r="K22" s="138">
        <f t="shared" si="0"/>
        <v>79.8</v>
      </c>
    </row>
    <row r="23" spans="1:11" ht="18" customHeight="1" thickBot="1">
      <c r="A23" s="104">
        <v>13</v>
      </c>
      <c r="B23" s="205" t="s">
        <v>114</v>
      </c>
      <c r="C23" s="202" t="s">
        <v>83</v>
      </c>
      <c r="D23" s="108"/>
      <c r="E23" s="108"/>
      <c r="F23" s="106">
        <v>86</v>
      </c>
      <c r="G23" s="106">
        <v>84</v>
      </c>
      <c r="H23" s="106">
        <v>85</v>
      </c>
      <c r="I23" s="106">
        <v>86</v>
      </c>
      <c r="J23" s="106">
        <v>84</v>
      </c>
      <c r="K23" s="138">
        <f t="shared" si="0"/>
        <v>85</v>
      </c>
    </row>
    <row r="24" spans="1:11" ht="18" customHeight="1" thickBot="1">
      <c r="A24" s="107">
        <v>14</v>
      </c>
      <c r="B24" s="205" t="s">
        <v>115</v>
      </c>
      <c r="C24" s="202" t="s">
        <v>84</v>
      </c>
      <c r="D24" s="108"/>
      <c r="E24" s="108"/>
      <c r="F24" s="106">
        <v>78</v>
      </c>
      <c r="G24" s="106">
        <v>78</v>
      </c>
      <c r="H24" s="106">
        <v>77</v>
      </c>
      <c r="I24" s="106">
        <v>80</v>
      </c>
      <c r="J24" s="106">
        <v>80</v>
      </c>
      <c r="K24" s="138">
        <f t="shared" si="0"/>
        <v>78.599999999999994</v>
      </c>
    </row>
    <row r="25" spans="1:11" ht="18" customHeight="1" thickBot="1">
      <c r="A25" s="107">
        <v>15</v>
      </c>
      <c r="B25" s="205" t="s">
        <v>116</v>
      </c>
      <c r="C25" s="202" t="s">
        <v>85</v>
      </c>
      <c r="D25" s="108"/>
      <c r="E25" s="108"/>
      <c r="F25" s="106">
        <v>80</v>
      </c>
      <c r="G25" s="106">
        <v>78</v>
      </c>
      <c r="H25" s="106">
        <v>79</v>
      </c>
      <c r="I25" s="106">
        <v>80</v>
      </c>
      <c r="J25" s="106">
        <v>80</v>
      </c>
      <c r="K25" s="138">
        <f t="shared" si="0"/>
        <v>79.400000000000006</v>
      </c>
    </row>
    <row r="26" spans="1:11" ht="18" customHeight="1" thickBot="1">
      <c r="A26" s="107">
        <v>16</v>
      </c>
      <c r="B26" s="205" t="s">
        <v>117</v>
      </c>
      <c r="C26" s="203" t="s">
        <v>86</v>
      </c>
      <c r="D26" s="108"/>
      <c r="E26" s="108"/>
      <c r="F26" s="106">
        <v>77</v>
      </c>
      <c r="G26" s="106">
        <v>77</v>
      </c>
      <c r="H26" s="106">
        <v>76</v>
      </c>
      <c r="I26" s="106">
        <v>79</v>
      </c>
      <c r="J26" s="106">
        <v>78</v>
      </c>
      <c r="K26" s="138">
        <f t="shared" si="0"/>
        <v>77.400000000000006</v>
      </c>
    </row>
    <row r="27" spans="1:11" ht="18" customHeight="1" thickBot="1">
      <c r="A27" s="107">
        <v>17</v>
      </c>
      <c r="B27" s="205" t="s">
        <v>118</v>
      </c>
      <c r="C27" s="202" t="s">
        <v>87</v>
      </c>
      <c r="D27" s="108"/>
      <c r="E27" s="108"/>
      <c r="F27" s="106">
        <v>80</v>
      </c>
      <c r="G27" s="106">
        <v>82</v>
      </c>
      <c r="H27" s="106">
        <v>83</v>
      </c>
      <c r="I27" s="106">
        <v>85</v>
      </c>
      <c r="J27" s="106">
        <v>82</v>
      </c>
      <c r="K27" s="138">
        <f t="shared" si="0"/>
        <v>82.4</v>
      </c>
    </row>
    <row r="28" spans="1:11" ht="18" customHeight="1" thickBot="1">
      <c r="A28" s="107">
        <v>18</v>
      </c>
      <c r="B28" s="205" t="s">
        <v>119</v>
      </c>
      <c r="C28" s="202" t="s">
        <v>88</v>
      </c>
      <c r="D28" s="108"/>
      <c r="E28" s="108"/>
      <c r="F28" s="106">
        <v>83</v>
      </c>
      <c r="G28" s="106">
        <v>85</v>
      </c>
      <c r="H28" s="106">
        <v>84</v>
      </c>
      <c r="I28" s="106">
        <v>84</v>
      </c>
      <c r="J28" s="106">
        <v>84</v>
      </c>
      <c r="K28" s="138">
        <f t="shared" si="0"/>
        <v>84</v>
      </c>
    </row>
    <row r="29" spans="1:11" ht="18" customHeight="1" thickBot="1">
      <c r="A29" s="104">
        <v>19</v>
      </c>
      <c r="B29" s="205" t="s">
        <v>120</v>
      </c>
      <c r="C29" s="202" t="s">
        <v>89</v>
      </c>
      <c r="D29" s="108"/>
      <c r="E29" s="108"/>
      <c r="F29" s="106">
        <v>81</v>
      </c>
      <c r="G29" s="106">
        <v>80</v>
      </c>
      <c r="H29" s="106">
        <v>80</v>
      </c>
      <c r="I29" s="106">
        <v>81</v>
      </c>
      <c r="J29" s="106">
        <v>82</v>
      </c>
      <c r="K29" s="138">
        <f t="shared" si="0"/>
        <v>80.8</v>
      </c>
    </row>
    <row r="30" spans="1:11" ht="18" customHeight="1" thickBot="1">
      <c r="A30" s="107">
        <v>20</v>
      </c>
      <c r="B30" s="205" t="s">
        <v>121</v>
      </c>
      <c r="C30" s="202" t="s">
        <v>90</v>
      </c>
      <c r="D30" s="108"/>
      <c r="E30" s="108"/>
      <c r="F30" s="106">
        <v>78</v>
      </c>
      <c r="G30" s="106">
        <v>78</v>
      </c>
      <c r="H30" s="106">
        <v>77</v>
      </c>
      <c r="I30" s="106">
        <v>79</v>
      </c>
      <c r="J30" s="106">
        <v>78</v>
      </c>
      <c r="K30" s="138">
        <f t="shared" si="0"/>
        <v>78</v>
      </c>
    </row>
    <row r="31" spans="1:11" ht="18" hidden="1" customHeight="1" thickBot="1">
      <c r="A31" s="107">
        <v>21</v>
      </c>
      <c r="B31" s="204"/>
      <c r="C31" s="125" t="s">
        <v>91</v>
      </c>
      <c r="D31" s="108"/>
      <c r="E31" s="108"/>
      <c r="F31" s="106"/>
      <c r="G31" s="106"/>
      <c r="H31" s="106"/>
      <c r="I31" s="106"/>
      <c r="J31" s="106"/>
      <c r="K31" s="138" t="str">
        <f t="shared" si="0"/>
        <v/>
      </c>
    </row>
    <row r="32" spans="1:11" ht="18" hidden="1" customHeight="1" thickBot="1">
      <c r="A32" s="107">
        <v>22</v>
      </c>
      <c r="B32" s="124"/>
      <c r="C32" s="125" t="s">
        <v>92</v>
      </c>
      <c r="D32" s="108"/>
      <c r="E32" s="108"/>
      <c r="F32" s="106"/>
      <c r="G32" s="106"/>
      <c r="H32" s="106"/>
      <c r="I32" s="106"/>
      <c r="J32" s="106"/>
      <c r="K32" s="138" t="str">
        <f t="shared" si="0"/>
        <v/>
      </c>
    </row>
    <row r="33" spans="1:11" ht="18" customHeight="1" thickBot="1">
      <c r="A33" s="109"/>
      <c r="B33" s="110" t="s">
        <v>101</v>
      </c>
      <c r="C33" s="111"/>
      <c r="D33" s="111"/>
      <c r="E33" s="111"/>
      <c r="F33" s="112"/>
      <c r="G33" s="112"/>
      <c r="H33" s="112"/>
      <c r="I33" s="112"/>
      <c r="J33" s="113"/>
      <c r="K33" s="114"/>
    </row>
    <row r="34" spans="1:11" ht="18" customHeight="1">
      <c r="A34" s="104">
        <v>1</v>
      </c>
      <c r="B34" s="158" t="s">
        <v>122</v>
      </c>
      <c r="C34" s="159"/>
      <c r="D34" s="105"/>
      <c r="E34" s="105"/>
      <c r="F34" s="106">
        <v>84</v>
      </c>
      <c r="G34" s="106">
        <v>85</v>
      </c>
      <c r="H34" s="106">
        <v>83</v>
      </c>
      <c r="I34" s="106">
        <v>84</v>
      </c>
      <c r="J34" s="106">
        <v>84</v>
      </c>
      <c r="K34" s="138">
        <f t="shared" ref="K34:K53" si="1">IF(ISERROR(AVERAGE(F34:J34)),"",AVERAGE(F34:J34))</f>
        <v>84</v>
      </c>
    </row>
    <row r="35" spans="1:11" ht="18" customHeight="1">
      <c r="A35" s="107">
        <v>2</v>
      </c>
      <c r="B35" s="158" t="s">
        <v>123</v>
      </c>
      <c r="C35" s="159"/>
      <c r="D35" s="108"/>
      <c r="E35" s="108"/>
      <c r="F35" s="106">
        <v>84</v>
      </c>
      <c r="G35" s="106">
        <v>82</v>
      </c>
      <c r="H35" s="106">
        <v>84</v>
      </c>
      <c r="I35" s="106">
        <v>85</v>
      </c>
      <c r="J35" s="106">
        <v>85</v>
      </c>
      <c r="K35" s="138">
        <f t="shared" si="1"/>
        <v>84</v>
      </c>
    </row>
    <row r="36" spans="1:11" ht="18" customHeight="1">
      <c r="A36" s="107">
        <v>3</v>
      </c>
      <c r="B36" s="158" t="s">
        <v>124</v>
      </c>
      <c r="C36" s="159"/>
      <c r="D36" s="105"/>
      <c r="E36" s="105"/>
      <c r="F36" s="106">
        <v>83</v>
      </c>
      <c r="G36" s="106">
        <v>82</v>
      </c>
      <c r="H36" s="106">
        <v>83</v>
      </c>
      <c r="I36" s="106">
        <v>85</v>
      </c>
      <c r="J36" s="106">
        <v>85</v>
      </c>
      <c r="K36" s="138">
        <f t="shared" si="1"/>
        <v>83.6</v>
      </c>
    </row>
    <row r="37" spans="1:11" ht="18" customHeight="1">
      <c r="A37" s="107">
        <v>4</v>
      </c>
      <c r="B37" s="158" t="s">
        <v>125</v>
      </c>
      <c r="C37" s="159"/>
      <c r="D37" s="105"/>
      <c r="E37" s="105"/>
      <c r="F37" s="106">
        <v>84</v>
      </c>
      <c r="G37" s="106">
        <v>83</v>
      </c>
      <c r="H37" s="106">
        <v>83</v>
      </c>
      <c r="I37" s="106">
        <v>86</v>
      </c>
      <c r="J37" s="106">
        <v>85</v>
      </c>
      <c r="K37" s="138">
        <f t="shared" si="1"/>
        <v>84.2</v>
      </c>
    </row>
    <row r="38" spans="1:11" ht="18" customHeight="1">
      <c r="A38" s="107">
        <v>5</v>
      </c>
      <c r="B38" s="158" t="s">
        <v>126</v>
      </c>
      <c r="C38" s="159"/>
      <c r="D38" s="108"/>
      <c r="E38" s="108"/>
      <c r="F38" s="106">
        <v>89</v>
      </c>
      <c r="G38" s="106">
        <v>90</v>
      </c>
      <c r="H38" s="106">
        <v>89</v>
      </c>
      <c r="I38" s="106">
        <v>90</v>
      </c>
      <c r="J38" s="106">
        <v>90</v>
      </c>
      <c r="K38" s="138">
        <f t="shared" si="1"/>
        <v>89.6</v>
      </c>
    </row>
    <row r="39" spans="1:11" ht="18" customHeight="1">
      <c r="A39" s="107">
        <v>6</v>
      </c>
      <c r="B39" s="158" t="s">
        <v>127</v>
      </c>
      <c r="C39" s="159"/>
      <c r="D39" s="108"/>
      <c r="E39" s="108"/>
      <c r="F39" s="106">
        <v>89</v>
      </c>
      <c r="G39" s="106">
        <v>90</v>
      </c>
      <c r="H39" s="106">
        <v>88</v>
      </c>
      <c r="I39" s="106">
        <v>90</v>
      </c>
      <c r="J39" s="106">
        <v>90</v>
      </c>
      <c r="K39" s="138">
        <f t="shared" si="1"/>
        <v>89.4</v>
      </c>
    </row>
    <row r="40" spans="1:11" ht="18" customHeight="1">
      <c r="A40" s="107">
        <v>7</v>
      </c>
      <c r="B40" s="158" t="s">
        <v>128</v>
      </c>
      <c r="C40" s="159"/>
      <c r="D40" s="108"/>
      <c r="E40" s="108"/>
      <c r="F40" s="106">
        <v>84</v>
      </c>
      <c r="G40" s="106">
        <v>85</v>
      </c>
      <c r="H40" s="106">
        <v>83</v>
      </c>
      <c r="I40" s="106">
        <v>84</v>
      </c>
      <c r="J40" s="106">
        <v>85</v>
      </c>
      <c r="K40" s="138">
        <f t="shared" si="1"/>
        <v>84.2</v>
      </c>
    </row>
    <row r="41" spans="1:11" ht="18" customHeight="1">
      <c r="A41" s="107">
        <v>8</v>
      </c>
      <c r="B41" s="158" t="s">
        <v>129</v>
      </c>
      <c r="C41" s="159"/>
      <c r="D41" s="108"/>
      <c r="E41" s="108"/>
      <c r="F41" s="106">
        <v>77</v>
      </c>
      <c r="G41" s="106">
        <v>77</v>
      </c>
      <c r="H41" s="106">
        <v>77</v>
      </c>
      <c r="I41" s="106">
        <v>80</v>
      </c>
      <c r="J41" s="106">
        <v>79</v>
      </c>
      <c r="K41" s="138">
        <f t="shared" si="1"/>
        <v>78</v>
      </c>
    </row>
    <row r="42" spans="1:11" ht="18" customHeight="1">
      <c r="A42" s="107">
        <v>9</v>
      </c>
      <c r="B42" s="158" t="s">
        <v>130</v>
      </c>
      <c r="C42" s="159"/>
      <c r="D42" s="108"/>
      <c r="E42" s="108"/>
      <c r="F42" s="106">
        <v>89</v>
      </c>
      <c r="G42" s="106">
        <v>90</v>
      </c>
      <c r="H42" s="106">
        <v>89</v>
      </c>
      <c r="I42" s="106">
        <v>90</v>
      </c>
      <c r="J42" s="106">
        <v>90</v>
      </c>
      <c r="K42" s="138">
        <f t="shared" si="1"/>
        <v>89.6</v>
      </c>
    </row>
    <row r="43" spans="1:11" ht="18" customHeight="1">
      <c r="A43" s="107">
        <v>10</v>
      </c>
      <c r="B43" s="158" t="s">
        <v>131</v>
      </c>
      <c r="C43" s="159"/>
      <c r="D43" s="108"/>
      <c r="E43" s="108"/>
      <c r="F43" s="106">
        <v>84</v>
      </c>
      <c r="G43" s="106">
        <v>82</v>
      </c>
      <c r="H43" s="106">
        <v>85</v>
      </c>
      <c r="I43" s="106">
        <v>86</v>
      </c>
      <c r="J43" s="106">
        <v>85</v>
      </c>
      <c r="K43" s="138">
        <f t="shared" si="1"/>
        <v>84.4</v>
      </c>
    </row>
    <row r="44" spans="1:11" ht="18" customHeight="1">
      <c r="A44" s="107">
        <v>11</v>
      </c>
      <c r="B44" s="158" t="s">
        <v>132</v>
      </c>
      <c r="C44" s="159"/>
      <c r="D44" s="108"/>
      <c r="E44" s="108"/>
      <c r="F44" s="106">
        <v>83</v>
      </c>
      <c r="G44" s="106">
        <v>85</v>
      </c>
      <c r="H44" s="106">
        <v>84</v>
      </c>
      <c r="I44" s="106">
        <v>86</v>
      </c>
      <c r="J44" s="106">
        <v>85</v>
      </c>
      <c r="K44" s="138">
        <f t="shared" si="1"/>
        <v>84.6</v>
      </c>
    </row>
    <row r="45" spans="1:11" ht="18" customHeight="1">
      <c r="A45" s="107">
        <v>12</v>
      </c>
      <c r="B45" s="158" t="s">
        <v>133</v>
      </c>
      <c r="C45" s="159"/>
      <c r="D45" s="108"/>
      <c r="E45" s="108"/>
      <c r="F45" s="106">
        <v>83</v>
      </c>
      <c r="G45" s="106">
        <v>82</v>
      </c>
      <c r="H45" s="106">
        <v>82</v>
      </c>
      <c r="I45" s="106">
        <v>84</v>
      </c>
      <c r="J45" s="106">
        <v>83</v>
      </c>
      <c r="K45" s="138">
        <f t="shared" si="1"/>
        <v>82.8</v>
      </c>
    </row>
    <row r="46" spans="1:11" ht="18" customHeight="1">
      <c r="A46" s="107">
        <v>13</v>
      </c>
      <c r="B46" s="158" t="s">
        <v>134</v>
      </c>
      <c r="C46" s="159"/>
      <c r="D46" s="108"/>
      <c r="E46" s="108"/>
      <c r="F46" s="106">
        <v>83</v>
      </c>
      <c r="G46" s="106">
        <v>82</v>
      </c>
      <c r="H46" s="106">
        <v>86</v>
      </c>
      <c r="I46" s="106">
        <v>85</v>
      </c>
      <c r="J46" s="106">
        <v>84</v>
      </c>
      <c r="K46" s="138">
        <f t="shared" si="1"/>
        <v>84</v>
      </c>
    </row>
    <row r="47" spans="1:11" ht="18" customHeight="1">
      <c r="A47" s="107">
        <v>14</v>
      </c>
      <c r="B47" s="158" t="s">
        <v>135</v>
      </c>
      <c r="C47" s="159"/>
      <c r="D47" s="108"/>
      <c r="E47" s="108"/>
      <c r="F47" s="106">
        <v>88</v>
      </c>
      <c r="G47" s="106">
        <v>89</v>
      </c>
      <c r="H47" s="106">
        <v>89</v>
      </c>
      <c r="I47" s="106">
        <v>90</v>
      </c>
      <c r="J47" s="106">
        <v>88</v>
      </c>
      <c r="K47" s="138">
        <f t="shared" si="1"/>
        <v>88.8</v>
      </c>
    </row>
    <row r="48" spans="1:11" ht="18" customHeight="1">
      <c r="A48" s="107">
        <v>15</v>
      </c>
      <c r="B48" s="158" t="s">
        <v>136</v>
      </c>
      <c r="C48" s="159"/>
      <c r="D48" s="108"/>
      <c r="E48" s="108"/>
      <c r="F48" s="106">
        <v>84</v>
      </c>
      <c r="G48" s="106">
        <v>86</v>
      </c>
      <c r="H48" s="106">
        <v>86</v>
      </c>
      <c r="I48" s="106">
        <v>87</v>
      </c>
      <c r="J48" s="106">
        <v>85</v>
      </c>
      <c r="K48" s="138">
        <f t="shared" si="1"/>
        <v>85.6</v>
      </c>
    </row>
    <row r="49" spans="1:11" ht="18" customHeight="1">
      <c r="A49" s="107">
        <v>16</v>
      </c>
      <c r="B49" s="158" t="s">
        <v>137</v>
      </c>
      <c r="C49" s="159"/>
      <c r="D49" s="108"/>
      <c r="E49" s="108"/>
      <c r="F49" s="106">
        <v>83</v>
      </c>
      <c r="G49" s="106">
        <v>82</v>
      </c>
      <c r="H49" s="106">
        <v>82</v>
      </c>
      <c r="I49" s="106">
        <v>85</v>
      </c>
      <c r="J49" s="106">
        <v>85</v>
      </c>
      <c r="K49" s="138">
        <f t="shared" si="1"/>
        <v>83.4</v>
      </c>
    </row>
    <row r="50" spans="1:11" ht="18" customHeight="1">
      <c r="A50" s="107">
        <v>17</v>
      </c>
      <c r="B50" s="158" t="s">
        <v>138</v>
      </c>
      <c r="C50" s="159"/>
      <c r="D50" s="108"/>
      <c r="E50" s="108"/>
      <c r="F50" s="106">
        <v>82</v>
      </c>
      <c r="G50" s="106">
        <v>82</v>
      </c>
      <c r="H50" s="106">
        <v>82</v>
      </c>
      <c r="I50" s="106">
        <v>85</v>
      </c>
      <c r="J50" s="106">
        <v>84</v>
      </c>
      <c r="K50" s="138">
        <f t="shared" si="1"/>
        <v>83</v>
      </c>
    </row>
    <row r="51" spans="1:11" ht="18" customHeight="1">
      <c r="A51" s="107">
        <v>18</v>
      </c>
      <c r="B51" s="158" t="s">
        <v>139</v>
      </c>
      <c r="C51" s="159"/>
      <c r="D51" s="108"/>
      <c r="E51" s="108"/>
      <c r="F51" s="106">
        <v>83</v>
      </c>
      <c r="G51" s="106">
        <v>85</v>
      </c>
      <c r="H51" s="106">
        <v>84</v>
      </c>
      <c r="I51" s="106">
        <v>87</v>
      </c>
      <c r="J51" s="106">
        <v>86</v>
      </c>
      <c r="K51" s="138">
        <f t="shared" si="1"/>
        <v>85</v>
      </c>
    </row>
    <row r="52" spans="1:11" ht="18" customHeight="1">
      <c r="A52" s="107">
        <v>19</v>
      </c>
      <c r="B52" s="158" t="s">
        <v>140</v>
      </c>
      <c r="C52" s="159"/>
      <c r="D52" s="108"/>
      <c r="E52" s="108"/>
      <c r="F52" s="106">
        <v>83</v>
      </c>
      <c r="G52" s="106">
        <v>86</v>
      </c>
      <c r="H52" s="106">
        <v>83</v>
      </c>
      <c r="I52" s="106">
        <v>86</v>
      </c>
      <c r="J52" s="106">
        <v>85</v>
      </c>
      <c r="K52" s="138">
        <f t="shared" si="1"/>
        <v>84.6</v>
      </c>
    </row>
    <row r="53" spans="1:11" ht="18" customHeight="1">
      <c r="A53" s="107">
        <v>20</v>
      </c>
      <c r="B53" s="259" t="s">
        <v>141</v>
      </c>
      <c r="C53" s="260"/>
      <c r="D53" s="108"/>
      <c r="E53" s="108"/>
      <c r="F53" s="106">
        <v>86</v>
      </c>
      <c r="G53" s="106">
        <v>87</v>
      </c>
      <c r="H53" s="106">
        <v>86</v>
      </c>
      <c r="I53" s="106">
        <v>88</v>
      </c>
      <c r="J53" s="106">
        <v>85</v>
      </c>
      <c r="K53" s="138">
        <f t="shared" si="1"/>
        <v>86.4</v>
      </c>
    </row>
    <row r="54" spans="1:11" ht="18" customHeight="1"/>
    <row r="55" spans="1:11" ht="18" customHeight="1"/>
    <row r="56" spans="1:11" ht="18" customHeight="1"/>
    <row r="57" spans="1:11" ht="18" customHeight="1"/>
    <row r="58" spans="1:11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</sheetData>
  <mergeCells count="13">
    <mergeCell ref="B53:C53"/>
    <mergeCell ref="J6:K6"/>
    <mergeCell ref="B8:E9"/>
    <mergeCell ref="K8:K9"/>
    <mergeCell ref="B10:E10"/>
    <mergeCell ref="B6:E6"/>
    <mergeCell ref="F6:H6"/>
    <mergeCell ref="A2:K2"/>
    <mergeCell ref="B4:E4"/>
    <mergeCell ref="F4:H4"/>
    <mergeCell ref="B5:E5"/>
    <mergeCell ref="F5:H5"/>
    <mergeCell ref="J5:K5"/>
  </mergeCells>
  <pageMargins left="0.98425196850393704" right="0.98425196850393704" top="0.98425196850393704" bottom="0.98425196850393704" header="0.51181102362204722" footer="0.51181102362204722"/>
  <pageSetup paperSize="14" scale="85" fitToWidth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</sheetPr>
  <dimension ref="A1:X42"/>
  <sheetViews>
    <sheetView workbookViewId="0"/>
  </sheetViews>
  <sheetFormatPr defaultColWidth="14.42578125" defaultRowHeight="15" customHeight="1"/>
  <cols>
    <col min="1" max="1" width="50" customWidth="1"/>
    <col min="2" max="2" width="27.140625" customWidth="1"/>
    <col min="3" max="3" width="35" customWidth="1"/>
    <col min="4" max="4" width="34.140625" customWidth="1"/>
    <col min="5" max="6" width="9.140625" customWidth="1"/>
    <col min="7" max="7" width="9.85546875" customWidth="1"/>
    <col min="8" max="20" width="9.140625" customWidth="1"/>
    <col min="21" max="21" width="49.140625" customWidth="1"/>
    <col min="22" max="26" width="9.140625" customWidth="1"/>
  </cols>
  <sheetData>
    <row r="1" spans="1:24" ht="12.75" customHeight="1">
      <c r="A1" s="115" t="s">
        <v>49</v>
      </c>
      <c r="B1" s="115" t="s">
        <v>50</v>
      </c>
      <c r="C1" s="115" t="s">
        <v>51</v>
      </c>
      <c r="D1" s="116" t="s">
        <v>52</v>
      </c>
      <c r="E1" s="117"/>
      <c r="F1" s="117"/>
      <c r="G1" s="269" t="s">
        <v>53</v>
      </c>
      <c r="H1" s="245"/>
      <c r="I1" s="245"/>
      <c r="J1" s="245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8"/>
      <c r="W1" s="118"/>
      <c r="X1" s="118"/>
    </row>
    <row r="2" spans="1:24" ht="12.75" customHeight="1">
      <c r="A2" s="117" t="s">
        <v>54</v>
      </c>
      <c r="B2" s="119">
        <v>0.3</v>
      </c>
      <c r="C2" s="119">
        <v>0.5</v>
      </c>
      <c r="D2" s="119">
        <v>0.2</v>
      </c>
      <c r="E2" s="119">
        <f>SUM(B2:D2)</f>
        <v>1</v>
      </c>
      <c r="F2" s="117"/>
      <c r="G2" s="120">
        <v>0</v>
      </c>
      <c r="H2" s="120" t="s">
        <v>55</v>
      </c>
      <c r="I2" s="120">
        <v>3.99</v>
      </c>
      <c r="J2" s="121">
        <v>60</v>
      </c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8"/>
      <c r="W2" s="118"/>
      <c r="X2" s="118"/>
    </row>
    <row r="3" spans="1:24" ht="12.75" customHeight="1">
      <c r="A3" s="117" t="s">
        <v>56</v>
      </c>
      <c r="B3" s="119">
        <v>0.4</v>
      </c>
      <c r="C3" s="119">
        <v>0.4</v>
      </c>
      <c r="D3" s="119">
        <v>0.2</v>
      </c>
      <c r="E3" s="119">
        <f>SUM(B3:D3)</f>
        <v>1</v>
      </c>
      <c r="F3" s="117"/>
      <c r="G3" s="120">
        <v>4</v>
      </c>
      <c r="H3" s="120" t="s">
        <v>55</v>
      </c>
      <c r="I3" s="120">
        <v>7.99</v>
      </c>
      <c r="J3" s="121">
        <v>61</v>
      </c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8"/>
      <c r="W3" s="118"/>
      <c r="X3" s="118"/>
    </row>
    <row r="4" spans="1:24" ht="12.75" customHeight="1">
      <c r="A4" s="117" t="s">
        <v>43</v>
      </c>
      <c r="B4" s="119">
        <v>0.2</v>
      </c>
      <c r="C4" s="119">
        <v>0.6</v>
      </c>
      <c r="D4" s="119">
        <v>0.2</v>
      </c>
      <c r="E4" s="119">
        <f>SUM(B4:D4)</f>
        <v>1</v>
      </c>
      <c r="F4" s="117"/>
      <c r="G4" s="120">
        <v>8</v>
      </c>
      <c r="H4" s="120" t="s">
        <v>55</v>
      </c>
      <c r="I4" s="120">
        <v>11.99</v>
      </c>
      <c r="J4" s="121">
        <v>62</v>
      </c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8"/>
      <c r="W4" s="118"/>
      <c r="X4" s="118"/>
    </row>
    <row r="5" spans="1:24" ht="12.75" customHeight="1">
      <c r="A5" s="117" t="s">
        <v>57</v>
      </c>
      <c r="B5" s="117"/>
      <c r="C5" s="117"/>
      <c r="D5" s="117"/>
      <c r="E5" s="117"/>
      <c r="F5" s="117"/>
      <c r="G5" s="120">
        <v>12</v>
      </c>
      <c r="H5" s="120" t="s">
        <v>55</v>
      </c>
      <c r="I5" s="120">
        <v>15.99</v>
      </c>
      <c r="J5" s="121">
        <v>63</v>
      </c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8" t="s">
        <v>58</v>
      </c>
      <c r="W5" s="118" t="s">
        <v>59</v>
      </c>
      <c r="X5" s="118" t="s">
        <v>60</v>
      </c>
    </row>
    <row r="6" spans="1:24" ht="12.75" customHeight="1">
      <c r="A6" s="117" t="s">
        <v>61</v>
      </c>
      <c r="B6" s="117"/>
      <c r="C6" s="117"/>
      <c r="D6" s="117"/>
      <c r="E6" s="117"/>
      <c r="F6" s="117"/>
      <c r="G6" s="120">
        <v>16</v>
      </c>
      <c r="H6" s="120" t="s">
        <v>55</v>
      </c>
      <c r="I6" s="120">
        <v>19.990000000000002</v>
      </c>
      <c r="J6" s="121">
        <v>64</v>
      </c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 t="s">
        <v>54</v>
      </c>
      <c r="V6" s="122">
        <v>0.3</v>
      </c>
      <c r="W6" s="122">
        <v>0.5</v>
      </c>
      <c r="X6" s="122">
        <v>0.2</v>
      </c>
    </row>
    <row r="7" spans="1:24" ht="12.75" customHeight="1">
      <c r="A7" s="117" t="s">
        <v>62</v>
      </c>
      <c r="B7" s="117"/>
      <c r="C7" s="117"/>
      <c r="D7" s="117"/>
      <c r="E7" s="117"/>
      <c r="F7" s="117"/>
      <c r="G7" s="120">
        <v>20</v>
      </c>
      <c r="H7" s="120" t="s">
        <v>55</v>
      </c>
      <c r="I7" s="120">
        <v>23.990000000000002</v>
      </c>
      <c r="J7" s="121">
        <v>65</v>
      </c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 t="s">
        <v>56</v>
      </c>
      <c r="V7" s="122">
        <v>0.3</v>
      </c>
      <c r="W7" s="122">
        <v>0.5</v>
      </c>
      <c r="X7" s="122">
        <v>0.2</v>
      </c>
    </row>
    <row r="8" spans="1:24" ht="12.75" customHeight="1">
      <c r="A8" s="117" t="s">
        <v>63</v>
      </c>
      <c r="B8" s="117"/>
      <c r="C8" s="117"/>
      <c r="D8" s="117"/>
      <c r="E8" s="117"/>
      <c r="F8" s="117"/>
      <c r="G8" s="120">
        <v>24</v>
      </c>
      <c r="H8" s="120" t="s">
        <v>55</v>
      </c>
      <c r="I8" s="120">
        <v>27.990000000000002</v>
      </c>
      <c r="J8" s="121">
        <v>66</v>
      </c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 t="s">
        <v>43</v>
      </c>
      <c r="V8" s="122">
        <v>0.4</v>
      </c>
      <c r="W8" s="122">
        <v>0.4</v>
      </c>
      <c r="X8" s="122">
        <v>0.2</v>
      </c>
    </row>
    <row r="9" spans="1:24" ht="12.75" customHeight="1">
      <c r="A9" s="117" t="s">
        <v>64</v>
      </c>
      <c r="B9" s="117"/>
      <c r="C9" s="117" t="s">
        <v>65</v>
      </c>
      <c r="D9" s="117"/>
      <c r="E9" s="117"/>
      <c r="F9" s="117"/>
      <c r="G9" s="120">
        <v>28</v>
      </c>
      <c r="H9" s="120" t="s">
        <v>55</v>
      </c>
      <c r="I9" s="120">
        <v>31.990000000000002</v>
      </c>
      <c r="J9" s="121">
        <v>67</v>
      </c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 t="s">
        <v>57</v>
      </c>
      <c r="V9" s="122">
        <v>0.4</v>
      </c>
      <c r="W9" s="122">
        <v>0.4</v>
      </c>
      <c r="X9" s="122">
        <v>0.2</v>
      </c>
    </row>
    <row r="10" spans="1:24" ht="12.75" customHeight="1">
      <c r="A10" s="117"/>
      <c r="B10" s="117"/>
      <c r="C10" s="117" t="s">
        <v>66</v>
      </c>
      <c r="D10" s="117"/>
      <c r="E10" s="117"/>
      <c r="F10" s="117"/>
      <c r="G10" s="120">
        <v>32</v>
      </c>
      <c r="H10" s="120" t="s">
        <v>55</v>
      </c>
      <c r="I10" s="120">
        <v>35.99</v>
      </c>
      <c r="J10" s="121">
        <v>68</v>
      </c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 t="s">
        <v>61</v>
      </c>
      <c r="V10" s="122">
        <v>0.3</v>
      </c>
      <c r="W10" s="122">
        <v>0.5</v>
      </c>
      <c r="X10" s="122">
        <v>0.2</v>
      </c>
    </row>
    <row r="11" spans="1:24" ht="12.75" customHeight="1">
      <c r="A11" s="117"/>
      <c r="B11" s="117"/>
      <c r="C11" s="117" t="s">
        <v>67</v>
      </c>
      <c r="D11" s="117"/>
      <c r="E11" s="117"/>
      <c r="F11" s="117"/>
      <c r="G11" s="120">
        <v>36</v>
      </c>
      <c r="H11" s="120" t="s">
        <v>55</v>
      </c>
      <c r="I11" s="120">
        <v>39.99</v>
      </c>
      <c r="J11" s="121">
        <v>69</v>
      </c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 t="s">
        <v>62</v>
      </c>
      <c r="V11" s="122">
        <v>0.3</v>
      </c>
      <c r="W11" s="122">
        <v>0.5</v>
      </c>
      <c r="X11" s="122">
        <v>0.2</v>
      </c>
    </row>
    <row r="12" spans="1:24" ht="12.75" customHeight="1">
      <c r="A12" s="117"/>
      <c r="B12" s="117"/>
      <c r="C12" s="117" t="s">
        <v>68</v>
      </c>
      <c r="D12" s="117"/>
      <c r="E12" s="117"/>
      <c r="F12" s="117"/>
      <c r="G12" s="120">
        <v>40</v>
      </c>
      <c r="H12" s="120" t="s">
        <v>55</v>
      </c>
      <c r="I12" s="120">
        <v>43.99</v>
      </c>
      <c r="J12" s="121">
        <v>70</v>
      </c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 t="s">
        <v>63</v>
      </c>
      <c r="V12" s="122">
        <v>0.2</v>
      </c>
      <c r="W12" s="122">
        <v>0.6</v>
      </c>
      <c r="X12" s="122">
        <v>0.2</v>
      </c>
    </row>
    <row r="13" spans="1:24" ht="12.75" customHeight="1">
      <c r="A13" s="117"/>
      <c r="B13" s="117"/>
      <c r="C13" s="117"/>
      <c r="D13" s="117"/>
      <c r="E13" s="117"/>
      <c r="F13" s="117"/>
      <c r="G13" s="120">
        <v>44</v>
      </c>
      <c r="H13" s="120" t="s">
        <v>55</v>
      </c>
      <c r="I13" s="120">
        <v>47.99</v>
      </c>
      <c r="J13" s="121">
        <v>71</v>
      </c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 t="s">
        <v>64</v>
      </c>
      <c r="V13" s="122">
        <v>0.3</v>
      </c>
      <c r="W13" s="122">
        <v>0.5</v>
      </c>
      <c r="X13" s="122">
        <v>0.2</v>
      </c>
    </row>
    <row r="14" spans="1:24" ht="12.75" customHeight="1">
      <c r="A14" s="117"/>
      <c r="B14" s="117"/>
      <c r="C14" s="117"/>
      <c r="D14" s="117"/>
      <c r="E14" s="117"/>
      <c r="F14" s="117"/>
      <c r="G14" s="120">
        <v>48</v>
      </c>
      <c r="H14" s="120" t="s">
        <v>55</v>
      </c>
      <c r="I14" s="120">
        <v>51.99</v>
      </c>
      <c r="J14" s="121">
        <v>72</v>
      </c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8"/>
      <c r="W14" s="118"/>
      <c r="X14" s="118"/>
    </row>
    <row r="15" spans="1:24" ht="12.75" customHeight="1">
      <c r="A15" s="117"/>
      <c r="B15" s="117"/>
      <c r="C15" s="117"/>
      <c r="D15" s="117"/>
      <c r="E15" s="117"/>
      <c r="F15" s="117"/>
      <c r="G15" s="120">
        <v>52</v>
      </c>
      <c r="H15" s="120" t="s">
        <v>55</v>
      </c>
      <c r="I15" s="120">
        <v>55.99</v>
      </c>
      <c r="J15" s="121">
        <v>73</v>
      </c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 t="str">
        <f>U6&amp;U7&amp;U8&amp;U9&amp;U10&amp;U11&amp;U12&amp;U13</f>
        <v>FILIPINOENGLISHMATHEMATICSSCIENCEARALING PANLIPUNANEDUKASYON SA PAGPAPAKATAOEDUKASYONG PANTAHANAN AT PANGKABUHAYANMOTHER TONGUE</v>
      </c>
      <c r="V15" s="118"/>
      <c r="W15" s="118"/>
      <c r="X15" s="118"/>
    </row>
    <row r="16" spans="1:24" ht="12.75" customHeight="1">
      <c r="A16" s="117"/>
      <c r="B16" s="117"/>
      <c r="C16" s="117"/>
      <c r="D16" s="117"/>
      <c r="E16" s="117"/>
      <c r="F16" s="117"/>
      <c r="G16" s="120">
        <v>56</v>
      </c>
      <c r="H16" s="120" t="s">
        <v>55</v>
      </c>
      <c r="I16" s="120">
        <v>59.99</v>
      </c>
      <c r="J16" s="121">
        <v>74</v>
      </c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 t="s">
        <v>69</v>
      </c>
      <c r="V16" s="118"/>
      <c r="W16" s="118"/>
      <c r="X16" s="118"/>
    </row>
    <row r="17" spans="7:10" ht="12.75" customHeight="1">
      <c r="G17" s="120">
        <v>60</v>
      </c>
      <c r="H17" s="120" t="s">
        <v>55</v>
      </c>
      <c r="I17" s="120">
        <v>61.59</v>
      </c>
      <c r="J17" s="121">
        <v>75</v>
      </c>
    </row>
    <row r="18" spans="7:10" ht="12.75" customHeight="1">
      <c r="G18" s="120">
        <v>61.6</v>
      </c>
      <c r="H18" s="120" t="s">
        <v>55</v>
      </c>
      <c r="I18" s="120">
        <v>63.190000000000005</v>
      </c>
      <c r="J18" s="121">
        <v>76</v>
      </c>
    </row>
    <row r="19" spans="7:10" ht="12.75" customHeight="1">
      <c r="G19" s="120">
        <v>63.2</v>
      </c>
      <c r="H19" s="120" t="s">
        <v>55</v>
      </c>
      <c r="I19" s="120">
        <v>64.790000000000006</v>
      </c>
      <c r="J19" s="121">
        <v>77</v>
      </c>
    </row>
    <row r="20" spans="7:10" ht="12.75" customHeight="1">
      <c r="G20" s="120">
        <v>64.8</v>
      </c>
      <c r="H20" s="120" t="s">
        <v>55</v>
      </c>
      <c r="I20" s="120">
        <v>66.39</v>
      </c>
      <c r="J20" s="121">
        <v>78</v>
      </c>
    </row>
    <row r="21" spans="7:10" ht="12.75" customHeight="1">
      <c r="G21" s="120">
        <v>66.400000000000006</v>
      </c>
      <c r="H21" s="120" t="s">
        <v>55</v>
      </c>
      <c r="I21" s="120">
        <v>67.990000000000009</v>
      </c>
      <c r="J21" s="121">
        <v>79</v>
      </c>
    </row>
    <row r="22" spans="7:10" ht="12.75" customHeight="1">
      <c r="G22" s="120">
        <v>68</v>
      </c>
      <c r="H22" s="120" t="s">
        <v>55</v>
      </c>
      <c r="I22" s="120">
        <v>69.59</v>
      </c>
      <c r="J22" s="121">
        <v>80</v>
      </c>
    </row>
    <row r="23" spans="7:10" ht="12.75" customHeight="1">
      <c r="G23" s="120">
        <v>69.599999999999994</v>
      </c>
      <c r="H23" s="120" t="s">
        <v>55</v>
      </c>
      <c r="I23" s="120">
        <v>71.19</v>
      </c>
      <c r="J23" s="121">
        <v>81</v>
      </c>
    </row>
    <row r="24" spans="7:10" ht="12.75" customHeight="1">
      <c r="G24" s="120">
        <v>71.2</v>
      </c>
      <c r="H24" s="120" t="s">
        <v>55</v>
      </c>
      <c r="I24" s="120">
        <v>72.790000000000006</v>
      </c>
      <c r="J24" s="121">
        <v>82</v>
      </c>
    </row>
    <row r="25" spans="7:10" ht="12.75" customHeight="1">
      <c r="G25" s="120">
        <v>72.8</v>
      </c>
      <c r="H25" s="120" t="s">
        <v>55</v>
      </c>
      <c r="I25" s="120">
        <v>74.39</v>
      </c>
      <c r="J25" s="121">
        <v>83</v>
      </c>
    </row>
    <row r="26" spans="7:10" ht="12.75" customHeight="1">
      <c r="G26" s="120">
        <v>74.400000000000006</v>
      </c>
      <c r="H26" s="120" t="s">
        <v>55</v>
      </c>
      <c r="I26" s="120">
        <v>75.990000000000009</v>
      </c>
      <c r="J26" s="121">
        <v>84</v>
      </c>
    </row>
    <row r="27" spans="7:10" ht="12.75" customHeight="1">
      <c r="G27" s="120">
        <v>76</v>
      </c>
      <c r="H27" s="120" t="s">
        <v>55</v>
      </c>
      <c r="I27" s="120">
        <v>77.59</v>
      </c>
      <c r="J27" s="121">
        <v>85</v>
      </c>
    </row>
    <row r="28" spans="7:10" ht="12.75" customHeight="1">
      <c r="G28" s="120">
        <v>77.599999999999994</v>
      </c>
      <c r="H28" s="120" t="s">
        <v>55</v>
      </c>
      <c r="I28" s="120">
        <v>79.19</v>
      </c>
      <c r="J28" s="121">
        <v>86</v>
      </c>
    </row>
    <row r="29" spans="7:10" ht="12.75" customHeight="1">
      <c r="G29" s="120">
        <v>79.2</v>
      </c>
      <c r="H29" s="120" t="s">
        <v>55</v>
      </c>
      <c r="I29" s="120">
        <v>80.790000000000006</v>
      </c>
      <c r="J29" s="121">
        <v>87</v>
      </c>
    </row>
    <row r="30" spans="7:10" ht="12.75" customHeight="1">
      <c r="G30" s="120">
        <v>80.8</v>
      </c>
      <c r="H30" s="120" t="s">
        <v>55</v>
      </c>
      <c r="I30" s="120">
        <v>82.39</v>
      </c>
      <c r="J30" s="121">
        <v>88</v>
      </c>
    </row>
    <row r="31" spans="7:10" ht="12.75" customHeight="1">
      <c r="G31" s="120">
        <v>82.4</v>
      </c>
      <c r="H31" s="120" t="s">
        <v>55</v>
      </c>
      <c r="I31" s="120">
        <v>83.990000000000009</v>
      </c>
      <c r="J31" s="121">
        <v>89</v>
      </c>
    </row>
    <row r="32" spans="7:10" ht="12.75" customHeight="1">
      <c r="G32" s="120">
        <v>84</v>
      </c>
      <c r="H32" s="120" t="s">
        <v>55</v>
      </c>
      <c r="I32" s="120">
        <v>85.59</v>
      </c>
      <c r="J32" s="121">
        <v>90</v>
      </c>
    </row>
    <row r="33" spans="7:10" ht="12.75" customHeight="1">
      <c r="G33" s="120">
        <v>85.6</v>
      </c>
      <c r="H33" s="120" t="s">
        <v>55</v>
      </c>
      <c r="I33" s="120">
        <v>87.19</v>
      </c>
      <c r="J33" s="121">
        <v>91</v>
      </c>
    </row>
    <row r="34" spans="7:10" ht="12.75" customHeight="1">
      <c r="G34" s="120">
        <v>87.2</v>
      </c>
      <c r="H34" s="120" t="s">
        <v>55</v>
      </c>
      <c r="I34" s="120">
        <v>88.79</v>
      </c>
      <c r="J34" s="121">
        <v>92</v>
      </c>
    </row>
    <row r="35" spans="7:10" ht="12.75" customHeight="1">
      <c r="G35" s="120">
        <v>88.8</v>
      </c>
      <c r="H35" s="120" t="s">
        <v>55</v>
      </c>
      <c r="I35" s="120">
        <v>90.39</v>
      </c>
      <c r="J35" s="121">
        <v>93</v>
      </c>
    </row>
    <row r="36" spans="7:10" ht="12.75" customHeight="1">
      <c r="G36" s="120">
        <v>90.4</v>
      </c>
      <c r="H36" s="120" t="s">
        <v>55</v>
      </c>
      <c r="I36" s="120">
        <v>91.990000000000009</v>
      </c>
      <c r="J36" s="121">
        <v>94</v>
      </c>
    </row>
    <row r="37" spans="7:10" ht="12.75" customHeight="1">
      <c r="G37" s="120">
        <v>92</v>
      </c>
      <c r="H37" s="120" t="s">
        <v>55</v>
      </c>
      <c r="I37" s="120">
        <v>93.59</v>
      </c>
      <c r="J37" s="121">
        <v>95</v>
      </c>
    </row>
    <row r="38" spans="7:10" ht="12.75" customHeight="1">
      <c r="G38" s="120">
        <v>93.6</v>
      </c>
      <c r="H38" s="120" t="s">
        <v>55</v>
      </c>
      <c r="I38" s="120">
        <v>95.19</v>
      </c>
      <c r="J38" s="121">
        <v>96</v>
      </c>
    </row>
    <row r="39" spans="7:10" ht="12.75" customHeight="1">
      <c r="G39" s="120">
        <v>95.2</v>
      </c>
      <c r="H39" s="120" t="s">
        <v>55</v>
      </c>
      <c r="I39" s="120">
        <v>96.79</v>
      </c>
      <c r="J39" s="121">
        <v>97</v>
      </c>
    </row>
    <row r="40" spans="7:10" ht="12.75" customHeight="1">
      <c r="G40" s="120">
        <v>96.8</v>
      </c>
      <c r="H40" s="120" t="s">
        <v>55</v>
      </c>
      <c r="I40" s="120">
        <v>98.39</v>
      </c>
      <c r="J40" s="121">
        <v>98</v>
      </c>
    </row>
    <row r="41" spans="7:10" ht="12.75" customHeight="1">
      <c r="G41" s="120">
        <v>98.4</v>
      </c>
      <c r="H41" s="120" t="s">
        <v>55</v>
      </c>
      <c r="I41" s="120">
        <v>99.990000000000009</v>
      </c>
      <c r="J41" s="121">
        <v>99</v>
      </c>
    </row>
    <row r="42" spans="7:10" ht="12.75" customHeight="1">
      <c r="G42" s="120">
        <v>100</v>
      </c>
      <c r="H42" s="120" t="s">
        <v>55</v>
      </c>
      <c r="I42" s="120"/>
      <c r="J42" s="121">
        <v>100</v>
      </c>
    </row>
  </sheetData>
  <mergeCells count="1">
    <mergeCell ref="G1:J1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LANGUAGE </vt:lpstr>
      <vt:lpstr>READING</vt:lpstr>
      <vt:lpstr>MATHEMATICS</vt:lpstr>
      <vt:lpstr>GMRC</vt:lpstr>
      <vt:lpstr>MAKABANSA</vt:lpstr>
      <vt:lpstr>SUMMARY OF QUARTERLY GRADES </vt:lpstr>
      <vt:lpstr>DO NOT DELETE</vt:lpstr>
      <vt:lpstr>TRANSMUTATION_TABLE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</dc:creator>
  <cp:lastModifiedBy>Kokoy</cp:lastModifiedBy>
  <cp:lastPrinted>2025-02-20T18:59:44Z</cp:lastPrinted>
  <dcterms:created xsi:type="dcterms:W3CDTF">2015-06-02T20:29:55Z</dcterms:created>
  <dcterms:modified xsi:type="dcterms:W3CDTF">2025-09-14T07:17:49Z</dcterms:modified>
</cp:coreProperties>
</file>